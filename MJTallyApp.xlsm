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8da569d9da1a4f27"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52c09998897546b9"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020" codeName="{372AB895-14C1-FC20-EB20-F1B4BCFD95AE}"/>
  <workbookPr codeName="ThisWorkbook"/>
  <mc:AlternateContent xmlns:mc="http://schemas.openxmlformats.org/markup-compatibility/2006">
    <mc:Choice Requires="x15">
      <x15ac:absPath xmlns:x15ac="http://schemas.microsoft.com/office/spreadsheetml/2010/11/ac" url="C:\Users\MJ\OneDrive\Excel-To-Tally\MPM\Others\"/>
    </mc:Choice>
  </mc:AlternateContent>
  <xr:revisionPtr revIDLastSave="0" documentId="13_ncr:1_{0AD5CD1B-A3D3-4C21-8C12-6081E9C67C2F}" xr6:coauthVersionLast="47" xr6:coauthVersionMax="47" xr10:uidLastSave="{00000000-0000-0000-0000-000000000000}"/>
  <bookViews>
    <workbookView xWindow="0" yWindow="0" windowWidth="20490" windowHeight="11070" xr2:uid="{00000000-000D-0000-FFFF-FFFF00000000}"/>
  </bookViews>
  <sheets>
    <sheet name="ENTRIES" sheetId="2" r:id="rId1"/>
    <sheet name="Ledger Activity" sheetId="4" r:id="rId2"/>
    <sheet name="DATABASE#" sheetId="1" state="veryHidden" r:id="rId3"/>
    <sheet name="COUNTRIES &amp; STATES" sheetId="3" state="veryHidden"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3" i="1" l="1"/>
  <c r="M2" i="2"/>
</calcChain>
</file>

<file path=xl/sharedStrings.xml><?xml version="1.0" encoding="utf-8"?>
<sst xmlns="http://schemas.openxmlformats.org/spreadsheetml/2006/main" count="1692" uniqueCount="1192">
  <si>
    <t>NARRATION</t>
  </si>
  <si>
    <t>LEDGER 3</t>
  </si>
  <si>
    <t>LEDGER 4</t>
  </si>
  <si>
    <t>LEDGER 5</t>
  </si>
  <si>
    <t>LEDGER 6</t>
  </si>
  <si>
    <t>Journal</t>
  </si>
  <si>
    <t>VoucherType</t>
  </si>
  <si>
    <t>Unit</t>
  </si>
  <si>
    <t>Groups</t>
  </si>
  <si>
    <t>SalPur1</t>
  </si>
  <si>
    <t>CashBank</t>
  </si>
  <si>
    <t>Sales2</t>
  </si>
  <si>
    <t>Purchase2</t>
  </si>
  <si>
    <t>ITEM</t>
  </si>
  <si>
    <t>BILL  ALLOCATIONS</t>
  </si>
  <si>
    <t>INVENTORY  ALLOCATIONS</t>
  </si>
  <si>
    <t>REF TYPE</t>
  </si>
  <si>
    <t>ITEM  ALLOCATIONS</t>
  </si>
  <si>
    <t>GODOWN</t>
  </si>
  <si>
    <t>BATCH / LOT NO</t>
  </si>
  <si>
    <t>MFG DATE</t>
  </si>
  <si>
    <t>EXPIRY DATE</t>
  </si>
  <si>
    <t>PLACE OF SUPPLY</t>
  </si>
  <si>
    <t>Purchase</t>
  </si>
  <si>
    <t>Main Location</t>
  </si>
  <si>
    <t>Uttar Pradesh</t>
  </si>
  <si>
    <t>India</t>
  </si>
  <si>
    <t>Contra</t>
  </si>
  <si>
    <t>Payment</t>
  </si>
  <si>
    <t>Receipt</t>
  </si>
  <si>
    <t>Sales</t>
  </si>
  <si>
    <t>Bank Accounts</t>
  </si>
  <si>
    <t>Bank OD A/c</t>
  </si>
  <si>
    <t>Branch / Divisions</t>
  </si>
  <si>
    <t>Capital Account</t>
  </si>
  <si>
    <t>Current Assets</t>
  </si>
  <si>
    <t>Current Liabilities</t>
  </si>
  <si>
    <t>Deposits (Asset)</t>
  </si>
  <si>
    <t>Direct Expenses</t>
  </si>
  <si>
    <t>Direct Incomes</t>
  </si>
  <si>
    <t>Duties &amp; Taxes</t>
  </si>
  <si>
    <t>Fixed Assets</t>
  </si>
  <si>
    <t>Indirect Expenses</t>
  </si>
  <si>
    <t>Indirect Incomes</t>
  </si>
  <si>
    <t>Investments</t>
  </si>
  <si>
    <t>Loans &amp; Advances (Asset)</t>
  </si>
  <si>
    <t>Loans (Liability)</t>
  </si>
  <si>
    <t>Misc. Expenses (ASSET)</t>
  </si>
  <si>
    <t>Provisions</t>
  </si>
  <si>
    <t>Purchase Accounts</t>
  </si>
  <si>
    <t>Reserves &amp; Surplus</t>
  </si>
  <si>
    <t>Sales Accounts</t>
  </si>
  <si>
    <t>Secured Loans</t>
  </si>
  <si>
    <t>Sundry Creditors</t>
  </si>
  <si>
    <t>Sundry Debtors</t>
  </si>
  <si>
    <t>Suspense A/c</t>
  </si>
  <si>
    <t>Unsecured Loans</t>
  </si>
  <si>
    <t>Cash</t>
  </si>
  <si>
    <t>Godowns</t>
  </si>
  <si>
    <t>Name</t>
  </si>
  <si>
    <t>GSTRegType</t>
  </si>
  <si>
    <t>Company</t>
  </si>
  <si>
    <t>Advance</t>
  </si>
  <si>
    <t>Agst Ref</t>
  </si>
  <si>
    <t>New Ref</t>
  </si>
  <si>
    <t>On Account</t>
  </si>
  <si>
    <t>_x0004_ Unknown</t>
  </si>
  <si>
    <t>Composition</t>
  </si>
  <si>
    <t>Regular</t>
  </si>
  <si>
    <t>Unregistered/Consumer</t>
  </si>
  <si>
    <t>Government entity / TDS</t>
  </si>
  <si>
    <t>Regular - SEZ</t>
  </si>
  <si>
    <t>Regular-Deemed Exporter</t>
  </si>
  <si>
    <t>Regular-Exports (EOU)</t>
  </si>
  <si>
    <t>e-Commerce Operator</t>
  </si>
  <si>
    <t>Input Service Distributor</t>
  </si>
  <si>
    <t>Embass/UN Body</t>
  </si>
  <si>
    <t>Non-Resident Taxpayer</t>
  </si>
  <si>
    <t>_x0004_ Not Applicable</t>
  </si>
  <si>
    <t>Andaman &amp; Nicobar Islands</t>
  </si>
  <si>
    <t>Andhra Pradesh</t>
  </si>
  <si>
    <t>Arunachal Pradesh</t>
  </si>
  <si>
    <t>Assam</t>
  </si>
  <si>
    <t>Bihar</t>
  </si>
  <si>
    <t>Chandigarh</t>
  </si>
  <si>
    <t>Chhattisgarh</t>
  </si>
  <si>
    <t>Dadra &amp; Nagar Haveli and Daman &amp; Diu</t>
  </si>
  <si>
    <t>Delhi</t>
  </si>
  <si>
    <t>Goa</t>
  </si>
  <si>
    <t>Gujarat</t>
  </si>
  <si>
    <t>Haryana</t>
  </si>
  <si>
    <t>Himachal Pradesh</t>
  </si>
  <si>
    <t>Jammu &amp; Kashmir</t>
  </si>
  <si>
    <t>Jharkhand</t>
  </si>
  <si>
    <t>Karnataka</t>
  </si>
  <si>
    <t>Kerala</t>
  </si>
  <si>
    <t>Ladakh</t>
  </si>
  <si>
    <t>Lakshadweep</t>
  </si>
  <si>
    <t>Madhya Pradesh</t>
  </si>
  <si>
    <t>Maharashtra</t>
  </si>
  <si>
    <t>Manipur</t>
  </si>
  <si>
    <t>Meghalaya</t>
  </si>
  <si>
    <t>Mizoram</t>
  </si>
  <si>
    <t>Nagaland</t>
  </si>
  <si>
    <t>Odisha</t>
  </si>
  <si>
    <t>Puducherry</t>
  </si>
  <si>
    <t>Punjab</t>
  </si>
  <si>
    <t>Rajasthan</t>
  </si>
  <si>
    <t>Sikkim</t>
  </si>
  <si>
    <t>Tamil Nadu</t>
  </si>
  <si>
    <t>Telangana</t>
  </si>
  <si>
    <t>Tripura</t>
  </si>
  <si>
    <t>Uttarakhand</t>
  </si>
  <si>
    <t>West Bengal</t>
  </si>
  <si>
    <t>States</t>
  </si>
  <si>
    <t>RegTypes</t>
  </si>
  <si>
    <t>BillMethods</t>
  </si>
  <si>
    <t>REF DATE</t>
  </si>
  <si>
    <t>Credit Note</t>
  </si>
  <si>
    <t>Debit Note</t>
  </si>
  <si>
    <t>PinCode</t>
  </si>
  <si>
    <t>Banks</t>
  </si>
  <si>
    <t>COUNTRIES</t>
  </si>
  <si>
    <t>Bangladesh</t>
  </si>
  <si>
    <t>Bhutan</t>
  </si>
  <si>
    <t>Botswana</t>
  </si>
  <si>
    <t>Egypt</t>
  </si>
  <si>
    <t>Ghana</t>
  </si>
  <si>
    <t>Honk Kong</t>
  </si>
  <si>
    <t>Indonesia</t>
  </si>
  <si>
    <t>Kenya</t>
  </si>
  <si>
    <t>Kingdom of Bahrain</t>
  </si>
  <si>
    <t>Kuwait</t>
  </si>
  <si>
    <t>Liberia</t>
  </si>
  <si>
    <t>Malawi</t>
  </si>
  <si>
    <t>Malaysia</t>
  </si>
  <si>
    <t>Myanmar (Burma)</t>
  </si>
  <si>
    <t>Nepal</t>
  </si>
  <si>
    <t>Nigeria</t>
  </si>
  <si>
    <t>Philippines</t>
  </si>
  <si>
    <t>Qatar</t>
  </si>
  <si>
    <t>Saudi Arabia</t>
  </si>
  <si>
    <t>South Africa</t>
  </si>
  <si>
    <t>Sri Lanka</t>
  </si>
  <si>
    <t>Sultanate of Oman</t>
  </si>
  <si>
    <t>Tanzania</t>
  </si>
  <si>
    <t>Thailand</t>
  </si>
  <si>
    <t>UAE</t>
  </si>
  <si>
    <t>Uganda</t>
  </si>
  <si>
    <t>UK</t>
  </si>
  <si>
    <t>United States of America</t>
  </si>
  <si>
    <t>Zambia</t>
  </si>
  <si>
    <t>Afghanistan</t>
  </si>
  <si>
    <t>Algeria</t>
  </si>
  <si>
    <t>Barisal</t>
  </si>
  <si>
    <t>Bumthang</t>
  </si>
  <si>
    <t>Central</t>
  </si>
  <si>
    <t>Alexandria</t>
  </si>
  <si>
    <t>Ashanti</t>
  </si>
  <si>
    <t>Central and Western</t>
  </si>
  <si>
    <t>Bali</t>
  </si>
  <si>
    <t>Baringo</t>
  </si>
  <si>
    <t>Capital</t>
  </si>
  <si>
    <t>Al Ahmadi</t>
  </si>
  <si>
    <t>Bomi</t>
  </si>
  <si>
    <t>Balaka</t>
  </si>
  <si>
    <t>Johor Darul Ta'zim</t>
  </si>
  <si>
    <t>Ayeyarwady</t>
  </si>
  <si>
    <t>Bagmati</t>
  </si>
  <si>
    <t>Abia</t>
  </si>
  <si>
    <t>Bicol Region</t>
  </si>
  <si>
    <t>Ad Dawhah</t>
  </si>
  <si>
    <t>Al Madinah</t>
  </si>
  <si>
    <t>Eastern Cape</t>
  </si>
  <si>
    <t>Ampara</t>
  </si>
  <si>
    <t>Al Batinah North</t>
  </si>
  <si>
    <t>Arusha</t>
  </si>
  <si>
    <t>Amnat Charoen</t>
  </si>
  <si>
    <t>Abu Dhabi</t>
  </si>
  <si>
    <t>Abim</t>
  </si>
  <si>
    <t>England</t>
  </si>
  <si>
    <t>Alabama</t>
  </si>
  <si>
    <t>Angola</t>
  </si>
  <si>
    <t>Chittagong</t>
  </si>
  <si>
    <t>Chhukha</t>
  </si>
  <si>
    <t>Chobe</t>
  </si>
  <si>
    <t>Aswan</t>
  </si>
  <si>
    <t>Brong Ahafo</t>
  </si>
  <si>
    <t>Easterns</t>
  </si>
  <si>
    <t>Banten</t>
  </si>
  <si>
    <t>Bomet</t>
  </si>
  <si>
    <t>Muharraq</t>
  </si>
  <si>
    <t>Al Asimah</t>
  </si>
  <si>
    <t>Bong</t>
  </si>
  <si>
    <t>BlanTyre</t>
  </si>
  <si>
    <t>Kedah Darul Aman</t>
  </si>
  <si>
    <t>Bago</t>
  </si>
  <si>
    <t>Far West</t>
  </si>
  <si>
    <t>Adamawa</t>
  </si>
  <si>
    <t>Cagayan Valley</t>
  </si>
  <si>
    <t>Al Khawr wa adh Dhakhirah</t>
  </si>
  <si>
    <t>Al-Qassim</t>
  </si>
  <si>
    <t>Free State</t>
  </si>
  <si>
    <t>Anuradhapura</t>
  </si>
  <si>
    <t>Al Batinah South</t>
  </si>
  <si>
    <t>Dar es Salaam</t>
  </si>
  <si>
    <t>Ang Thong</t>
  </si>
  <si>
    <t>Ajman</t>
  </si>
  <si>
    <t>Adjumani</t>
  </si>
  <si>
    <t>Northern Ireland</t>
  </si>
  <si>
    <t>Alaska</t>
  </si>
  <si>
    <t>Copperbelt</t>
  </si>
  <si>
    <t>Argentina</t>
  </si>
  <si>
    <t>Dhaka</t>
  </si>
  <si>
    <t>Dagana</t>
  </si>
  <si>
    <t>Francistown</t>
  </si>
  <si>
    <t>Asyut</t>
  </si>
  <si>
    <t>Islends</t>
  </si>
  <si>
    <t>Bengkulu</t>
  </si>
  <si>
    <t>Bungoma</t>
  </si>
  <si>
    <t>Northern</t>
  </si>
  <si>
    <t>Al Farwaniyah</t>
  </si>
  <si>
    <t>Gbarpolu</t>
  </si>
  <si>
    <t>Chikwawa</t>
  </si>
  <si>
    <t>Kelantan Darul Naim</t>
  </si>
  <si>
    <t>Chin</t>
  </si>
  <si>
    <t>Gandaki</t>
  </si>
  <si>
    <t>Akwa Ibom</t>
  </si>
  <si>
    <t>Calabarzon</t>
  </si>
  <si>
    <t>Al Wakrah</t>
  </si>
  <si>
    <t>Ash-Sharqiyyah</t>
  </si>
  <si>
    <t>Gauteng</t>
  </si>
  <si>
    <t>Badulla</t>
  </si>
  <si>
    <t>Al Buraimi</t>
  </si>
  <si>
    <t>Dodoma</t>
  </si>
  <si>
    <t>Bangkok</t>
  </si>
  <si>
    <t>Dubai</t>
  </si>
  <si>
    <t>Agago</t>
  </si>
  <si>
    <t>Scotland</t>
  </si>
  <si>
    <t>Arizona</t>
  </si>
  <si>
    <t>Eastern</t>
  </si>
  <si>
    <t>Australia</t>
  </si>
  <si>
    <t>Khulna</t>
  </si>
  <si>
    <t>Gasa</t>
  </si>
  <si>
    <t>Gaborone</t>
  </si>
  <si>
    <t>Beheira</t>
  </si>
  <si>
    <t>Kowloon City</t>
  </si>
  <si>
    <t>DI Yogyakarta</t>
  </si>
  <si>
    <t>Busia</t>
  </si>
  <si>
    <t>Southern</t>
  </si>
  <si>
    <t>Al Jahra</t>
  </si>
  <si>
    <t>Grand Bassa</t>
  </si>
  <si>
    <t>ChiradZulu</t>
  </si>
  <si>
    <t>Kuala Lumpur</t>
  </si>
  <si>
    <t>Kachin</t>
  </si>
  <si>
    <t>Janakpur</t>
  </si>
  <si>
    <t>Anambra</t>
  </si>
  <si>
    <t>Caraga Region</t>
  </si>
  <si>
    <t>Ar Rayyan</t>
  </si>
  <si>
    <t>Asir</t>
  </si>
  <si>
    <t>KwaZulu-Natal</t>
  </si>
  <si>
    <t>Batticaloa</t>
  </si>
  <si>
    <t>Al Dhahira</t>
  </si>
  <si>
    <t>Geita</t>
  </si>
  <si>
    <t>Bueng Kan</t>
  </si>
  <si>
    <t>Fujairah</t>
  </si>
  <si>
    <t>Alebtong</t>
  </si>
  <si>
    <t>Wales</t>
  </si>
  <si>
    <t>Arkansas</t>
  </si>
  <si>
    <t>Luapula</t>
  </si>
  <si>
    <t>Mymesingh</t>
  </si>
  <si>
    <t>Haa</t>
  </si>
  <si>
    <t>Ghanzi</t>
  </si>
  <si>
    <t>Beni Suef</t>
  </si>
  <si>
    <t>Greater Accra</t>
  </si>
  <si>
    <t>Kwai Tsing</t>
  </si>
  <si>
    <t>DKI Jakarta</t>
  </si>
  <si>
    <t>Elgeyo-Marakwet</t>
  </si>
  <si>
    <t>Hawalli</t>
  </si>
  <si>
    <t>Grand Cape Mount</t>
  </si>
  <si>
    <t>Chitipa</t>
  </si>
  <si>
    <t>Labuan</t>
  </si>
  <si>
    <t>Kayah</t>
  </si>
  <si>
    <t>Karnali</t>
  </si>
  <si>
    <t>Bauchi</t>
  </si>
  <si>
    <t>Central Luzon</t>
  </si>
  <si>
    <t>Ash Shamal</t>
  </si>
  <si>
    <t>Ha'il</t>
  </si>
  <si>
    <t>Limpopo</t>
  </si>
  <si>
    <t>Colombo</t>
  </si>
  <si>
    <t>Al Shariyah North</t>
  </si>
  <si>
    <t>Iringa</t>
  </si>
  <si>
    <t>Buriram</t>
  </si>
  <si>
    <t>Ras al-Khaimah</t>
  </si>
  <si>
    <t>Amolatar</t>
  </si>
  <si>
    <t>California</t>
  </si>
  <si>
    <t>Lusaka</t>
  </si>
  <si>
    <t>Belgium</t>
  </si>
  <si>
    <t>Rajshahi</t>
  </si>
  <si>
    <t>Lhuentse</t>
  </si>
  <si>
    <t>Jwaneng</t>
  </si>
  <si>
    <t>Cairo</t>
  </si>
  <si>
    <t>Kwun Tong</t>
  </si>
  <si>
    <t>Gorontalo</t>
  </si>
  <si>
    <t>Embu</t>
  </si>
  <si>
    <t>Mubarak Al-Kabeer</t>
  </si>
  <si>
    <t>Grand Gedeh</t>
  </si>
  <si>
    <t>Dedza</t>
  </si>
  <si>
    <t>Malacca</t>
  </si>
  <si>
    <t>Kayin</t>
  </si>
  <si>
    <t>Koshi</t>
  </si>
  <si>
    <t>Bayelsa</t>
  </si>
  <si>
    <t>Central Visayas</t>
  </si>
  <si>
    <t>Ash Shihaniyah</t>
  </si>
  <si>
    <t>Makkah</t>
  </si>
  <si>
    <t>Mpumalanga</t>
  </si>
  <si>
    <t>Galle</t>
  </si>
  <si>
    <t>Al Shariyah South</t>
  </si>
  <si>
    <t>Kagera</t>
  </si>
  <si>
    <t>Chachoengsao</t>
  </si>
  <si>
    <t>Sharjah</t>
  </si>
  <si>
    <t>Amudat</t>
  </si>
  <si>
    <t>Colorado</t>
  </si>
  <si>
    <t>Muchinga</t>
  </si>
  <si>
    <t>Benin</t>
  </si>
  <si>
    <t>Rangpur</t>
  </si>
  <si>
    <t>Mongar</t>
  </si>
  <si>
    <t>Kgalagadi</t>
  </si>
  <si>
    <t>Dakahlia</t>
  </si>
  <si>
    <t>Upper East</t>
  </si>
  <si>
    <t>North</t>
  </si>
  <si>
    <t>Jambi</t>
  </si>
  <si>
    <t>Garissa</t>
  </si>
  <si>
    <t>Grand Kru</t>
  </si>
  <si>
    <t>Dowa</t>
  </si>
  <si>
    <t>Negeri Sembilan Darul Khusus</t>
  </si>
  <si>
    <t>Magway</t>
  </si>
  <si>
    <t>Lumbini</t>
  </si>
  <si>
    <t>Benue</t>
  </si>
  <si>
    <t>Cordillera Administrative Region</t>
  </si>
  <si>
    <t>Az Zaayin</t>
  </si>
  <si>
    <t>Najran</t>
  </si>
  <si>
    <t>Northern Cape</t>
  </si>
  <si>
    <t>Gampaha</t>
  </si>
  <si>
    <t>Al Wusta</t>
  </si>
  <si>
    <t>Katavi</t>
  </si>
  <si>
    <t>Chai Nat</t>
  </si>
  <si>
    <t>Umm al-Quwain</t>
  </si>
  <si>
    <t>Amuria</t>
  </si>
  <si>
    <t>Connecticut</t>
  </si>
  <si>
    <t>Sylhet</t>
  </si>
  <si>
    <t>Paro</t>
  </si>
  <si>
    <t>Kgatleng</t>
  </si>
  <si>
    <t>Damietta</t>
  </si>
  <si>
    <t>Upper West</t>
  </si>
  <si>
    <t>Sai Kung</t>
  </si>
  <si>
    <t>Jawa Barat</t>
  </si>
  <si>
    <t>Homa Bay</t>
  </si>
  <si>
    <t>Lofa</t>
  </si>
  <si>
    <t>Karonga</t>
  </si>
  <si>
    <t>Pahang Darul Makmur</t>
  </si>
  <si>
    <t>Mandalay</t>
  </si>
  <si>
    <t>Borno</t>
  </si>
  <si>
    <t>Davao Region</t>
  </si>
  <si>
    <t>Umm Salal</t>
  </si>
  <si>
    <t>Riyadh</t>
  </si>
  <si>
    <t>North West</t>
  </si>
  <si>
    <t>Hambantota</t>
  </si>
  <si>
    <t>Dakhiliyah</t>
  </si>
  <si>
    <t>Kigoma</t>
  </si>
  <si>
    <t>Chaiyaphum</t>
  </si>
  <si>
    <t>Amuru</t>
  </si>
  <si>
    <t>Delaware</t>
  </si>
  <si>
    <t>North-Western</t>
  </si>
  <si>
    <t>Bolivia</t>
  </si>
  <si>
    <t>Pema Gatshel</t>
  </si>
  <si>
    <t>Kweneng</t>
  </si>
  <si>
    <t>Faiyum</t>
  </si>
  <si>
    <t>Volta</t>
  </si>
  <si>
    <t>Sham Shui Po</t>
  </si>
  <si>
    <t>Jawa Tengah</t>
  </si>
  <si>
    <t>Isiolo</t>
  </si>
  <si>
    <t>Margibi</t>
  </si>
  <si>
    <t>Kasungu</t>
  </si>
  <si>
    <t>Penang</t>
  </si>
  <si>
    <t>Mon</t>
  </si>
  <si>
    <t>Cross River</t>
  </si>
  <si>
    <t>Eastern Visayas</t>
  </si>
  <si>
    <t>Tabuk</t>
  </si>
  <si>
    <t>Western Cape</t>
  </si>
  <si>
    <t>Jaffna</t>
  </si>
  <si>
    <t>Dhofar</t>
  </si>
  <si>
    <t>Kilimanjaro</t>
  </si>
  <si>
    <t>Chanthaburi</t>
  </si>
  <si>
    <t>Apac</t>
  </si>
  <si>
    <t>Florida</t>
  </si>
  <si>
    <t>Punakha</t>
  </si>
  <si>
    <t>Lobatse</t>
  </si>
  <si>
    <t>Gharbia</t>
  </si>
  <si>
    <t>Western</t>
  </si>
  <si>
    <t>Sha Tin</t>
  </si>
  <si>
    <t>Jawa Timur</t>
  </si>
  <si>
    <t>Kajiado</t>
  </si>
  <si>
    <t>Maryland</t>
  </si>
  <si>
    <t>Likoma</t>
  </si>
  <si>
    <t>Perak Darul Ridzuan</t>
  </si>
  <si>
    <t>Naypyidaw</t>
  </si>
  <si>
    <t>Delta</t>
  </si>
  <si>
    <t>Ilocos Region</t>
  </si>
  <si>
    <t>Kalutara</t>
  </si>
  <si>
    <t>Musandam</t>
  </si>
  <si>
    <t>Lindi</t>
  </si>
  <si>
    <t>Chiang Mai</t>
  </si>
  <si>
    <t>Arua</t>
  </si>
  <si>
    <t>Georgia</t>
  </si>
  <si>
    <t>Brazil</t>
  </si>
  <si>
    <t>Samdrup Jongkhar</t>
  </si>
  <si>
    <t>Ngamiland</t>
  </si>
  <si>
    <t>Giza</t>
  </si>
  <si>
    <t>Kalimantan Barat</t>
  </si>
  <si>
    <t>Kakamega</t>
  </si>
  <si>
    <t>Montserrado</t>
  </si>
  <si>
    <t>Lilongwe</t>
  </si>
  <si>
    <t>Perlis Indera Kayangan</t>
  </si>
  <si>
    <t>Rakhine</t>
  </si>
  <si>
    <t>Ebonyi</t>
  </si>
  <si>
    <t>National Capital Region</t>
  </si>
  <si>
    <t>Kandy</t>
  </si>
  <si>
    <t>Muscat</t>
  </si>
  <si>
    <t>Manyara</t>
  </si>
  <si>
    <t>Chiang Rai</t>
  </si>
  <si>
    <t>Budaka</t>
  </si>
  <si>
    <t>Hawaii</t>
  </si>
  <si>
    <t>Burkina Faso</t>
  </si>
  <si>
    <t>Samtse</t>
  </si>
  <si>
    <t>North-East</t>
  </si>
  <si>
    <t>Ismailia</t>
  </si>
  <si>
    <t>Tai Po</t>
  </si>
  <si>
    <t>Kalimantan Selatan</t>
  </si>
  <si>
    <t>Kericho</t>
  </si>
  <si>
    <t>Nimba</t>
  </si>
  <si>
    <t>Machinga</t>
  </si>
  <si>
    <t>Putrajaya</t>
  </si>
  <si>
    <t>Sagaing</t>
  </si>
  <si>
    <t>Edo</t>
  </si>
  <si>
    <t>Northern Mindanao</t>
  </si>
  <si>
    <t>Kegalle</t>
  </si>
  <si>
    <t>Mara</t>
  </si>
  <si>
    <t>Chonburi</t>
  </si>
  <si>
    <t>Bududa</t>
  </si>
  <si>
    <t>Idaho</t>
  </si>
  <si>
    <t>Burundi</t>
  </si>
  <si>
    <t>Sarpang</t>
  </si>
  <si>
    <t>Orapa</t>
  </si>
  <si>
    <t>Kafr El Sheikh</t>
  </si>
  <si>
    <t>Tsuen Wan</t>
  </si>
  <si>
    <t>Kalimantan Tengah</t>
  </si>
  <si>
    <t>Kiambu</t>
  </si>
  <si>
    <t>Rivercess</t>
  </si>
  <si>
    <t>Mangochi</t>
  </si>
  <si>
    <t>Sabah</t>
  </si>
  <si>
    <t>Shan</t>
  </si>
  <si>
    <t>Ekiti</t>
  </si>
  <si>
    <t>Soccsksargen</t>
  </si>
  <si>
    <t>Kilinochchi</t>
  </si>
  <si>
    <t>Mbeya</t>
  </si>
  <si>
    <t>Chumphon</t>
  </si>
  <si>
    <t>Bugiri</t>
  </si>
  <si>
    <t>Illinois</t>
  </si>
  <si>
    <t>Cambodia</t>
  </si>
  <si>
    <t>Thimphu</t>
  </si>
  <si>
    <t>Selebi-Phikwe</t>
  </si>
  <si>
    <t>Luxor</t>
  </si>
  <si>
    <t>Tuen Mun</t>
  </si>
  <si>
    <t>Kalimantan Timur</t>
  </si>
  <si>
    <t>Kilifi</t>
  </si>
  <si>
    <t>River Gee</t>
  </si>
  <si>
    <t>Mchinji</t>
  </si>
  <si>
    <t>Sarawak</t>
  </si>
  <si>
    <t>Tanintharyi</t>
  </si>
  <si>
    <t>Enugu</t>
  </si>
  <si>
    <t>Southwestern Tagalog Region</t>
  </si>
  <si>
    <t>Kurunegala</t>
  </si>
  <si>
    <t>Morogoro</t>
  </si>
  <si>
    <t>Kalasin</t>
  </si>
  <si>
    <t>Buikwe</t>
  </si>
  <si>
    <t>Indiana</t>
  </si>
  <si>
    <t>Cameroon</t>
  </si>
  <si>
    <t>Trashi Yangtse</t>
  </si>
  <si>
    <t>South-East</t>
  </si>
  <si>
    <t>Matruh</t>
  </si>
  <si>
    <t>Wan Chai</t>
  </si>
  <si>
    <t>Kalimantan Utara</t>
  </si>
  <si>
    <t>Kirinyaga</t>
  </si>
  <si>
    <t>Sinoe</t>
  </si>
  <si>
    <t>Mulanje</t>
  </si>
  <si>
    <t>Selangor Darul Ehsan</t>
  </si>
  <si>
    <t>Yangon</t>
  </si>
  <si>
    <t>Gombe</t>
  </si>
  <si>
    <t>Western Visayas</t>
  </si>
  <si>
    <t>Mannar</t>
  </si>
  <si>
    <t>Mtwara</t>
  </si>
  <si>
    <t>Kamphaeng Phet</t>
  </si>
  <si>
    <t>Bukedea</t>
  </si>
  <si>
    <t>Iowa</t>
  </si>
  <si>
    <t>Canada</t>
  </si>
  <si>
    <t>Trashigang</t>
  </si>
  <si>
    <t>Minya</t>
  </si>
  <si>
    <t>Wong Tai Sin</t>
  </si>
  <si>
    <t>Kepulauan Bangka Belitung</t>
  </si>
  <si>
    <t>Kisii</t>
  </si>
  <si>
    <t>Mwanza</t>
  </si>
  <si>
    <t>Terengganu Darul Iman</t>
  </si>
  <si>
    <t>Imo</t>
  </si>
  <si>
    <t>Zamboanga Peninsula</t>
  </si>
  <si>
    <t>Matale</t>
  </si>
  <si>
    <t>Kanchanaburi</t>
  </si>
  <si>
    <t>Bukomansimbi</t>
  </si>
  <si>
    <t>Kansas</t>
  </si>
  <si>
    <t>Chad</t>
  </si>
  <si>
    <t>Trongsa</t>
  </si>
  <si>
    <t>Sowa</t>
  </si>
  <si>
    <t>Monufia</t>
  </si>
  <si>
    <t>Yau Tsim Mong</t>
  </si>
  <si>
    <t>Kepulauan Riau</t>
  </si>
  <si>
    <t>Kisumu</t>
  </si>
  <si>
    <t>Mzimba</t>
  </si>
  <si>
    <t>Jigawa</t>
  </si>
  <si>
    <t>Matara</t>
  </si>
  <si>
    <t>Njombe</t>
  </si>
  <si>
    <t>Khon Kaen</t>
  </si>
  <si>
    <t>Bukwo</t>
  </si>
  <si>
    <t>Kentucky</t>
  </si>
  <si>
    <t>Chile</t>
  </si>
  <si>
    <t>Tsirang</t>
  </si>
  <si>
    <t>New Valley</t>
  </si>
  <si>
    <t>Yuen Long</t>
  </si>
  <si>
    <t>Lampung</t>
  </si>
  <si>
    <t>Kitui</t>
  </si>
  <si>
    <t>Neno</t>
  </si>
  <si>
    <t>Kaduna</t>
  </si>
  <si>
    <t>Monaragala</t>
  </si>
  <si>
    <t>Pemba North</t>
  </si>
  <si>
    <t>Krabi</t>
  </si>
  <si>
    <t>Bulambuli</t>
  </si>
  <si>
    <t>Louisiana</t>
  </si>
  <si>
    <t>China</t>
  </si>
  <si>
    <t>Wangdue Phodrang</t>
  </si>
  <si>
    <t>North Sinai</t>
  </si>
  <si>
    <t>Maluku</t>
  </si>
  <si>
    <t>Kwale</t>
  </si>
  <si>
    <t>Nkhata Bay</t>
  </si>
  <si>
    <t>Kano</t>
  </si>
  <si>
    <t>Mullaitivu</t>
  </si>
  <si>
    <t>Pemba South</t>
  </si>
  <si>
    <t>Lampang</t>
  </si>
  <si>
    <t>Buliisa</t>
  </si>
  <si>
    <t>Maine</t>
  </si>
  <si>
    <t>Colombia</t>
  </si>
  <si>
    <t>Zhemgang</t>
  </si>
  <si>
    <t>Port Said</t>
  </si>
  <si>
    <t>Maluku Utara</t>
  </si>
  <si>
    <t>Laikipia</t>
  </si>
  <si>
    <t>Nkhotakota</t>
  </si>
  <si>
    <t>Katsina</t>
  </si>
  <si>
    <t>Nuwara Eliya</t>
  </si>
  <si>
    <t>Pwani</t>
  </si>
  <si>
    <t>Lamphun</t>
  </si>
  <si>
    <t>Bundibugyo</t>
  </si>
  <si>
    <t>Cote d'Ivoire (Ivory Coast)</t>
  </si>
  <si>
    <t>Qalyubia</t>
  </si>
  <si>
    <t>Nanggroe Aceh Darussalam</t>
  </si>
  <si>
    <t>Lamu</t>
  </si>
  <si>
    <t>Nsanje</t>
  </si>
  <si>
    <t>Kebbi</t>
  </si>
  <si>
    <t>Polonnaruwa</t>
  </si>
  <si>
    <t>Rukwa</t>
  </si>
  <si>
    <t>Loei</t>
  </si>
  <si>
    <t>Bushenyi</t>
  </si>
  <si>
    <t>Massachusetts</t>
  </si>
  <si>
    <t>Cuba</t>
  </si>
  <si>
    <t>Qena</t>
  </si>
  <si>
    <t>Nusa Tenggara Barat</t>
  </si>
  <si>
    <t>Machakos</t>
  </si>
  <si>
    <t>Ntcheu</t>
  </si>
  <si>
    <t>Kogi</t>
  </si>
  <si>
    <t>Puttalam</t>
  </si>
  <si>
    <t>Ruvuma</t>
  </si>
  <si>
    <t>Lopburi</t>
  </si>
  <si>
    <t>Michigan</t>
  </si>
  <si>
    <t>Czech Republic</t>
  </si>
  <si>
    <t>Red Sea</t>
  </si>
  <si>
    <t>Nusa Tenggara Timur</t>
  </si>
  <si>
    <t>Makueni</t>
  </si>
  <si>
    <t>Ntchisi</t>
  </si>
  <si>
    <t>Kwara</t>
  </si>
  <si>
    <t>Ratnapura</t>
  </si>
  <si>
    <t>Shinyanga</t>
  </si>
  <si>
    <t>Mae Hong Son</t>
  </si>
  <si>
    <t>Butaleja</t>
  </si>
  <si>
    <t>Minnesota</t>
  </si>
  <si>
    <t>Dominican Republic</t>
  </si>
  <si>
    <t>Sharqia</t>
  </si>
  <si>
    <t>Papua</t>
  </si>
  <si>
    <t>Mandera</t>
  </si>
  <si>
    <t>Phalombe</t>
  </si>
  <si>
    <t>Lagos</t>
  </si>
  <si>
    <t>Trincomalee</t>
  </si>
  <si>
    <t>Simiyu</t>
  </si>
  <si>
    <t>Maha Sarakham</t>
  </si>
  <si>
    <t>Butambala</t>
  </si>
  <si>
    <t>Mississippi</t>
  </si>
  <si>
    <t>Ecuador</t>
  </si>
  <si>
    <t>Sohag</t>
  </si>
  <si>
    <t>Papua Barat</t>
  </si>
  <si>
    <t>Marsabit</t>
  </si>
  <si>
    <t>Rumphi</t>
  </si>
  <si>
    <t>Nasarawa</t>
  </si>
  <si>
    <t>Vavuniya</t>
  </si>
  <si>
    <t>Singida</t>
  </si>
  <si>
    <t>Mukdahan</t>
  </si>
  <si>
    <t>Buvuma</t>
  </si>
  <si>
    <t>Missouri</t>
  </si>
  <si>
    <t>South Sinai</t>
  </si>
  <si>
    <t>Riau</t>
  </si>
  <si>
    <t>Meru</t>
  </si>
  <si>
    <t>Salima</t>
  </si>
  <si>
    <t>Niger</t>
  </si>
  <si>
    <t>Songwe</t>
  </si>
  <si>
    <t>Nakhon Nayok</t>
  </si>
  <si>
    <t>Buyende</t>
  </si>
  <si>
    <t>Montana</t>
  </si>
  <si>
    <t>Ethiopia</t>
  </si>
  <si>
    <t>Suez</t>
  </si>
  <si>
    <t>Sulawesi Barat</t>
  </si>
  <si>
    <t>Migori</t>
  </si>
  <si>
    <t>Thyolo</t>
  </si>
  <si>
    <t>Ogun</t>
  </si>
  <si>
    <t>Tabora</t>
  </si>
  <si>
    <t>Nakhon Pathom</t>
  </si>
  <si>
    <t>Dokolo</t>
  </si>
  <si>
    <t>Nebraska</t>
  </si>
  <si>
    <t>France</t>
  </si>
  <si>
    <t>Sulawesi Selatan</t>
  </si>
  <si>
    <t>Mombasa</t>
  </si>
  <si>
    <t>Zomba</t>
  </si>
  <si>
    <t>Ondo</t>
  </si>
  <si>
    <t>Tanga</t>
  </si>
  <si>
    <t>Nakhon Phanom</t>
  </si>
  <si>
    <t>Gomba</t>
  </si>
  <si>
    <t>Nevada</t>
  </si>
  <si>
    <t>Germany</t>
  </si>
  <si>
    <t>Sulawesi Tengah</t>
  </si>
  <si>
    <t>Muranga</t>
  </si>
  <si>
    <t>Osun</t>
  </si>
  <si>
    <t>Zanzibar North</t>
  </si>
  <si>
    <t>Nakhon Ratchasima</t>
  </si>
  <si>
    <t>Gulu</t>
  </si>
  <si>
    <t>New Hampshire</t>
  </si>
  <si>
    <t>Sulawesi Tenggara</t>
  </si>
  <si>
    <t>Nairobi City</t>
  </si>
  <si>
    <t>Oyo</t>
  </si>
  <si>
    <t>Zanzibar South</t>
  </si>
  <si>
    <t>Nakhon Sawan</t>
  </si>
  <si>
    <t>Hoima</t>
  </si>
  <si>
    <t>New Jersey</t>
  </si>
  <si>
    <t>Greece</t>
  </si>
  <si>
    <t>Sulawesi Utara</t>
  </si>
  <si>
    <t>Nakuru</t>
  </si>
  <si>
    <t>Plateau</t>
  </si>
  <si>
    <t>Zanzibar Urban West</t>
  </si>
  <si>
    <t>Nakhon Si Thammarat</t>
  </si>
  <si>
    <t>Ibanda</t>
  </si>
  <si>
    <t>New Mexico</t>
  </si>
  <si>
    <t>Guatemala</t>
  </si>
  <si>
    <t>Sumatera Barat</t>
  </si>
  <si>
    <t>Nandi</t>
  </si>
  <si>
    <t>Rivers</t>
  </si>
  <si>
    <t>Nan</t>
  </si>
  <si>
    <t>Iganga</t>
  </si>
  <si>
    <t>New York</t>
  </si>
  <si>
    <t>Guinea</t>
  </si>
  <si>
    <t>Sumatera Selatan</t>
  </si>
  <si>
    <t>Narok</t>
  </si>
  <si>
    <t>Sokoto</t>
  </si>
  <si>
    <t>Narathiwat</t>
  </si>
  <si>
    <t>Isingiro</t>
  </si>
  <si>
    <t>North Carolina</t>
  </si>
  <si>
    <t>Haiti</t>
  </si>
  <si>
    <t>Sumatera Utara</t>
  </si>
  <si>
    <t>Nyamira</t>
  </si>
  <si>
    <t>Taraba</t>
  </si>
  <si>
    <t>Nong Bua Lam phu</t>
  </si>
  <si>
    <t>Jinja</t>
  </si>
  <si>
    <t>North Dakota</t>
  </si>
  <si>
    <t>Nyandarua</t>
  </si>
  <si>
    <t>Yobe</t>
  </si>
  <si>
    <t>Nong Khai</t>
  </si>
  <si>
    <t>Kaabong</t>
  </si>
  <si>
    <t>Ohio</t>
  </si>
  <si>
    <t>Nyeri</t>
  </si>
  <si>
    <t>Zamfara</t>
  </si>
  <si>
    <t>Nonthaburi</t>
  </si>
  <si>
    <t>Kabale</t>
  </si>
  <si>
    <t>Oklahoma</t>
  </si>
  <si>
    <t>Samburu</t>
  </si>
  <si>
    <t>Pathum Thani</t>
  </si>
  <si>
    <t>Kabarole</t>
  </si>
  <si>
    <t>Oregon</t>
  </si>
  <si>
    <t>Iran</t>
  </si>
  <si>
    <t>Siaya</t>
  </si>
  <si>
    <t>Pattani</t>
  </si>
  <si>
    <t>Kaberamaido</t>
  </si>
  <si>
    <t>Pennsylvania</t>
  </si>
  <si>
    <t>Iraq</t>
  </si>
  <si>
    <t>Taita Taveta</t>
  </si>
  <si>
    <t>Phang Nga</t>
  </si>
  <si>
    <t>Kalangala</t>
  </si>
  <si>
    <t>Rhode Island</t>
  </si>
  <si>
    <t>Italy</t>
  </si>
  <si>
    <t>Tana River</t>
  </si>
  <si>
    <t>Phatthalung</t>
  </si>
  <si>
    <t>Kaliro</t>
  </si>
  <si>
    <t>South Carolina</t>
  </si>
  <si>
    <t>Japan</t>
  </si>
  <si>
    <t>Tharaka Nithi</t>
  </si>
  <si>
    <t>Phayao</t>
  </si>
  <si>
    <t>Kalungu</t>
  </si>
  <si>
    <t>South Dakota</t>
  </si>
  <si>
    <t>Kazakhstan</t>
  </si>
  <si>
    <t>Trans Nzoia</t>
  </si>
  <si>
    <t>Phetchabun</t>
  </si>
  <si>
    <t>Kampala</t>
  </si>
  <si>
    <t>Tennessee</t>
  </si>
  <si>
    <t>Turkana</t>
  </si>
  <si>
    <t>Phetchaburi</t>
  </si>
  <si>
    <t>Kamuli</t>
  </si>
  <si>
    <t>Texas</t>
  </si>
  <si>
    <t>Uasin Gishu</t>
  </si>
  <si>
    <t>Phichit</t>
  </si>
  <si>
    <t>Kamwenge</t>
  </si>
  <si>
    <t>Utah</t>
  </si>
  <si>
    <t>Vihiga</t>
  </si>
  <si>
    <t>Phitsanulok</t>
  </si>
  <si>
    <t>Kanungu</t>
  </si>
  <si>
    <t>Vermont</t>
  </si>
  <si>
    <t>Wajir</t>
  </si>
  <si>
    <t>Phrae</t>
  </si>
  <si>
    <t>Kapchorwa</t>
  </si>
  <si>
    <t>Virginia</t>
  </si>
  <si>
    <t>Madagascar</t>
  </si>
  <si>
    <t>West Pokot</t>
  </si>
  <si>
    <t>Phra Nakhon Si Ayutthaya</t>
  </si>
  <si>
    <t>Kasese</t>
  </si>
  <si>
    <t>Washington</t>
  </si>
  <si>
    <t>Phuket</t>
  </si>
  <si>
    <t>Katakwi</t>
  </si>
  <si>
    <t>West Virginia</t>
  </si>
  <si>
    <t>Prachinburi</t>
  </si>
  <si>
    <t>Katerere</t>
  </si>
  <si>
    <t>Wisconsin</t>
  </si>
  <si>
    <t>Mali</t>
  </si>
  <si>
    <t>Prachuap Khiri Khan</t>
  </si>
  <si>
    <t>Kayunga</t>
  </si>
  <si>
    <t>Wyoming</t>
  </si>
  <si>
    <t>Mexico</t>
  </si>
  <si>
    <t>Ranong</t>
  </si>
  <si>
    <t>Kibaale</t>
  </si>
  <si>
    <t>Morocco</t>
  </si>
  <si>
    <t>Ratchaburi</t>
  </si>
  <si>
    <t>Kibingo</t>
  </si>
  <si>
    <t>Mozambique</t>
  </si>
  <si>
    <t>Rayong</t>
  </si>
  <si>
    <t>Kiboga</t>
  </si>
  <si>
    <t>Roi Et</t>
  </si>
  <si>
    <t>Kibuku</t>
  </si>
  <si>
    <t>Sa Kaeo</t>
  </si>
  <si>
    <t>Kiruhura</t>
  </si>
  <si>
    <t>Netherlands</t>
  </si>
  <si>
    <t>Sakon Nakhon</t>
  </si>
  <si>
    <t>Kiryandongo</t>
  </si>
  <si>
    <t>Samut Prakan</t>
  </si>
  <si>
    <t>Kisoro</t>
  </si>
  <si>
    <t>Samut Sakhon</t>
  </si>
  <si>
    <t>Kitgum</t>
  </si>
  <si>
    <t>North Korea (DPRK)</t>
  </si>
  <si>
    <t>Samut Songkhram</t>
  </si>
  <si>
    <t>Koboko</t>
  </si>
  <si>
    <t>Pakistan</t>
  </si>
  <si>
    <t>Saraburi</t>
  </si>
  <si>
    <t>Kole</t>
  </si>
  <si>
    <t>Peru</t>
  </si>
  <si>
    <t>Satun</t>
  </si>
  <si>
    <t>Kotido</t>
  </si>
  <si>
    <t>Sing Buri</t>
  </si>
  <si>
    <t>Kumi</t>
  </si>
  <si>
    <t>Poland</t>
  </si>
  <si>
    <t>Sisaket</t>
  </si>
  <si>
    <t>Kween</t>
  </si>
  <si>
    <t>Portugal</t>
  </si>
  <si>
    <t>Songkhla</t>
  </si>
  <si>
    <t>Kyankwanzi</t>
  </si>
  <si>
    <t>Sukhothai</t>
  </si>
  <si>
    <t>Kyegegwa</t>
  </si>
  <si>
    <t>Republic Of The CongoDemocratic</t>
  </si>
  <si>
    <t>Suphan Buri</t>
  </si>
  <si>
    <t>Kyenjojo</t>
  </si>
  <si>
    <t>Romania</t>
  </si>
  <si>
    <t>Surat Thani</t>
  </si>
  <si>
    <t>Lamwo</t>
  </si>
  <si>
    <t>Russia</t>
  </si>
  <si>
    <t>Surin</t>
  </si>
  <si>
    <t>Lira</t>
  </si>
  <si>
    <t>Rwanda</t>
  </si>
  <si>
    <t>Tak</t>
  </si>
  <si>
    <t>Luuka</t>
  </si>
  <si>
    <t>Trang</t>
  </si>
  <si>
    <t>Luwero</t>
  </si>
  <si>
    <t>Senegal</t>
  </si>
  <si>
    <t>Trat</t>
  </si>
  <si>
    <t>Lwengo</t>
  </si>
  <si>
    <t>Singapore</t>
  </si>
  <si>
    <t>Ubon Ratchathani</t>
  </si>
  <si>
    <t>Lyantonde</t>
  </si>
  <si>
    <t>Udon Thani</t>
  </si>
  <si>
    <t>Manafwa</t>
  </si>
  <si>
    <t>South Korea (ROK)</t>
  </si>
  <si>
    <t>Uthai Thani</t>
  </si>
  <si>
    <t>Maracha</t>
  </si>
  <si>
    <t>Spain</t>
  </si>
  <si>
    <t>Uttaradit</t>
  </si>
  <si>
    <t>Masaka</t>
  </si>
  <si>
    <t>Yala</t>
  </si>
  <si>
    <t>Masindi</t>
  </si>
  <si>
    <t>Sudan</t>
  </si>
  <si>
    <t>Yasothon</t>
  </si>
  <si>
    <t>Mayuge</t>
  </si>
  <si>
    <t>Mbale</t>
  </si>
  <si>
    <t>Syria</t>
  </si>
  <si>
    <t>Mbarara</t>
  </si>
  <si>
    <t>Mitooma</t>
  </si>
  <si>
    <t>Mityana</t>
  </si>
  <si>
    <t>Tunisia</t>
  </si>
  <si>
    <t>Moroto</t>
  </si>
  <si>
    <t>Turkey</t>
  </si>
  <si>
    <t>Moyo</t>
  </si>
  <si>
    <t>Mpigi</t>
  </si>
  <si>
    <t>Mubende</t>
  </si>
  <si>
    <t>Mukono</t>
  </si>
  <si>
    <t>Ukraine</t>
  </si>
  <si>
    <t>Nakapiripirit</t>
  </si>
  <si>
    <t>Nakaseke</t>
  </si>
  <si>
    <t>Uzbekistan</t>
  </si>
  <si>
    <t>Nakasongola</t>
  </si>
  <si>
    <t>Venezuela</t>
  </si>
  <si>
    <t>Namiyango</t>
  </si>
  <si>
    <t>Vietnam</t>
  </si>
  <si>
    <t>Namutumba</t>
  </si>
  <si>
    <t>Yemen</t>
  </si>
  <si>
    <t>Napak</t>
  </si>
  <si>
    <t>Nebbi</t>
  </si>
  <si>
    <t>Zimbabwe</t>
  </si>
  <si>
    <t>Ngora</t>
  </si>
  <si>
    <t>Nsiika</t>
  </si>
  <si>
    <t>Ntoroko</t>
  </si>
  <si>
    <t>Ntungamo</t>
  </si>
  <si>
    <t>Nwoya</t>
  </si>
  <si>
    <t>Otuke</t>
  </si>
  <si>
    <t>Oyam</t>
  </si>
  <si>
    <t>Pader</t>
  </si>
  <si>
    <t>Pallisa</t>
  </si>
  <si>
    <t>Rakai</t>
  </si>
  <si>
    <t>Rukungiri</t>
  </si>
  <si>
    <t>Serere</t>
  </si>
  <si>
    <t>Sironko</t>
  </si>
  <si>
    <t>Soroti</t>
  </si>
  <si>
    <t>Ssembabule</t>
  </si>
  <si>
    <t>Tororo</t>
  </si>
  <si>
    <t>Wakiso</t>
  </si>
  <si>
    <t>Yumbe</t>
  </si>
  <si>
    <t>Zombo</t>
  </si>
  <si>
    <t>LedPinCode</t>
  </si>
  <si>
    <t>Do not make any changes in this sheet, without understand coding structure.</t>
  </si>
  <si>
    <t>IsBillWiseOn</t>
  </si>
  <si>
    <t>IsInventoryOn</t>
  </si>
  <si>
    <t>IsBatchWiseOn</t>
  </si>
  <si>
    <t>CountryName</t>
  </si>
  <si>
    <t>IsGSTOn</t>
  </si>
  <si>
    <t>GSTRegNumber</t>
  </si>
  <si>
    <t>Purchase3</t>
  </si>
  <si>
    <t>Sales3</t>
  </si>
  <si>
    <t>PayRec2</t>
  </si>
  <si>
    <t>DCNote2</t>
  </si>
  <si>
    <t>DCNote3</t>
  </si>
  <si>
    <t>GSTIN</t>
  </si>
  <si>
    <t>LedIsBillWise</t>
  </si>
  <si>
    <t>LedgerType</t>
  </si>
  <si>
    <t>AllLedgers</t>
  </si>
  <si>
    <t>REF NO.</t>
  </si>
  <si>
    <t>Values</t>
  </si>
  <si>
    <t>Vouchers</t>
  </si>
  <si>
    <t>StockItems</t>
  </si>
  <si>
    <t>LedState</t>
  </si>
  <si>
    <t>LedAddr</t>
  </si>
  <si>
    <t>Address</t>
  </si>
  <si>
    <t>AMOUNT 4</t>
  </si>
  <si>
    <t>AMOUNT 3</t>
  </si>
  <si>
    <t>AMOUNT 5</t>
  </si>
  <si>
    <t>AMOUNT 6</t>
  </si>
  <si>
    <t>BILL AMOUNT</t>
  </si>
  <si>
    <t>Party Ledgers</t>
  </si>
  <si>
    <t>GSTApplicable</t>
  </si>
  <si>
    <t>PARTY  DETAILS</t>
  </si>
  <si>
    <t>CONSIGNEE DETAILS</t>
  </si>
  <si>
    <t>NATURE OF ADJUSTMENT</t>
  </si>
  <si>
    <t>Nature of Adjustment</t>
  </si>
  <si>
    <t>Addtional Nature of Adjustment</t>
  </si>
  <si>
    <t>Decrease in Tax Liability</t>
  </si>
  <si>
    <t>Increase in Input Tax Credit</t>
  </si>
  <si>
    <t>Increase in Tax Liability</t>
  </si>
  <si>
    <t>Increase in Tax Liability &amp; Input Tax Credit</t>
  </si>
  <si>
    <t>Opening Balance</t>
  </si>
  <si>
    <t>Reversal of Input Tax Credit</t>
  </si>
  <si>
    <t>Cancellation of Advance Payments Under Reverse Charge</t>
  </si>
  <si>
    <t>Cancellation of Advance Receipts</t>
  </si>
  <si>
    <t>Import of Services</t>
  </si>
  <si>
    <t>Others</t>
  </si>
  <si>
    <t>Purchase Against Advance Payments</t>
  </si>
  <si>
    <t>Purchase from Unregistered Dealer</t>
  </si>
  <si>
    <t>Purchase Under Reverse Charge from Unregistered Dealer</t>
  </si>
  <si>
    <t>Sales Against Advance Receipts</t>
  </si>
  <si>
    <t>Import of Goods</t>
  </si>
  <si>
    <t>ISD Invoice/Debit Note</t>
  </si>
  <si>
    <t>Reclaim of Reversal of ITC (On Account of Buyer Payment)</t>
  </si>
  <si>
    <t>Reclaim of Reversal of ITC - Rule 42(2)(b)</t>
  </si>
  <si>
    <t>Advance Paid Under Reverse Charge</t>
  </si>
  <si>
    <t>Interest</t>
  </si>
  <si>
    <t>ISD Credit Note Rule 39(1)(j)(ii)</t>
  </si>
  <si>
    <t>Late Fees</t>
  </si>
  <si>
    <t>On Account of Advance Receipts</t>
  </si>
  <si>
    <t>Penalty</t>
  </si>
  <si>
    <t>Capital Credit Due to Exempted Supplies - Rule 43(1)(h)</t>
  </si>
  <si>
    <t>Exempt and Non-Business Supplies - Rule 42(1)(m)</t>
  </si>
  <si>
    <t>Ineligible Credit</t>
  </si>
  <si>
    <t>Non-Payment to the Supplier - Rule 37(2)</t>
  </si>
  <si>
    <t>On Account of Claiming More - Rule 42(2)(a)</t>
  </si>
  <si>
    <t>STAT ADJUSTMENT DETAILS</t>
  </si>
  <si>
    <t>Payment Under Reverse Charge</t>
  </si>
  <si>
    <t>Advance Receipt</t>
  </si>
  <si>
    <t>Refund of Advance Payment</t>
  </si>
  <si>
    <t>Cess Rate</t>
  </si>
  <si>
    <t>IntegeratedTax Rate</t>
  </si>
  <si>
    <t>GST RATE</t>
  </si>
  <si>
    <t>CESS RATE</t>
  </si>
  <si>
    <t>"TOP AMOUNT" will auto Calculate</t>
  </si>
  <si>
    <t>DESPATCH/RECEIPT DETAILS</t>
  </si>
  <si>
    <t>IMPORT/EXPORT DETAILS</t>
  </si>
  <si>
    <t>DELIVERY/RECEIPT NOTE NO(S)</t>
  </si>
  <si>
    <t>DELIVERY/RECEIPT DATE(S)</t>
  </si>
  <si>
    <t>DESPATCH/RECEIPT DOC. NO.</t>
  </si>
  <si>
    <t>RECEIPT DOC. DATE</t>
  </si>
  <si>
    <t>DESTINATION</t>
  </si>
  <si>
    <t>CARRIER NAME/AGENT</t>
  </si>
  <si>
    <t>LR/RR NO.</t>
  </si>
  <si>
    <t>LR/RR DATE</t>
  </si>
  <si>
    <t>PLACE OF RECEIPT BY SHIPPER</t>
  </si>
  <si>
    <t>POTR OF LOADING</t>
  </si>
  <si>
    <t>PORT OF DISCHARGE</t>
  </si>
  <si>
    <t>ENTRY/SHIPPING BILL NO.</t>
  </si>
  <si>
    <t>ENTRY/SHIPPING BILL DATE</t>
  </si>
  <si>
    <t>PORT CODE</t>
  </si>
  <si>
    <t>VEHICLE NO.</t>
  </si>
  <si>
    <t>LEDGER 7</t>
  </si>
  <si>
    <t>AMOUNT 7</t>
  </si>
  <si>
    <t>LEDGER 8</t>
  </si>
  <si>
    <t>AMOUNT 8</t>
  </si>
  <si>
    <t>LEDGER 9</t>
  </si>
  <si>
    <t>AMOUNT 9</t>
  </si>
  <si>
    <t>LEDGER 10</t>
  </si>
  <si>
    <t>AMOUNT 10</t>
  </si>
  <si>
    <t>PARTY NAME</t>
  </si>
  <si>
    <t>PARTY ADDRESS</t>
  </si>
  <si>
    <t>PARTY STATE</t>
  </si>
  <si>
    <t>PARTY PIN CODE</t>
  </si>
  <si>
    <t>PARTY GST REGISTRATION TYPE</t>
  </si>
  <si>
    <t>PARTY GSTIN/UIN</t>
  </si>
  <si>
    <t>CONSIGNEE NAME</t>
  </si>
  <si>
    <t>CONSIGNEE ADDRESS</t>
  </si>
  <si>
    <t>CONSIGNEE STATE</t>
  </si>
  <si>
    <t>CONSIGNEE PIN CODE</t>
  </si>
  <si>
    <t>CONSIGNEE GSTIN/UIN</t>
  </si>
  <si>
    <t>ADDI. NATURE OF ADJUSTMENT</t>
  </si>
  <si>
    <t>BILL NAME</t>
  </si>
  <si>
    <t>BILL DUE DATE / DAYS</t>
  </si>
  <si>
    <t>NAME</t>
  </si>
  <si>
    <t>ITEM DESCRIPTION</t>
  </si>
  <si>
    <t>QUANTITY</t>
  </si>
  <si>
    <t>FROM ROW</t>
  </si>
  <si>
    <t>TO ROW</t>
  </si>
  <si>
    <t>COLS DATA</t>
  </si>
  <si>
    <t>SHEET NAME</t>
  </si>
  <si>
    <t>FILE NAME</t>
  </si>
  <si>
    <t>F:\Downloads\Book1.xls</t>
  </si>
  <si>
    <t>Test Template</t>
  </si>
  <si>
    <t>ERPQueries</t>
  </si>
  <si>
    <t>Queries</t>
  </si>
  <si>
    <t xml:space="preserve">
</t>
  </si>
  <si>
    <t>Decrease of Tax Liability</t>
  </si>
  <si>
    <t>Increase of Input Tax Credit</t>
  </si>
  <si>
    <t>Increase of Tax Liability</t>
  </si>
  <si>
    <t>Increase of Tax Liability &amp; Input Tax Credit</t>
  </si>
  <si>
    <t>Refund</t>
  </si>
  <si>
    <t>Reversal of Tax Liability</t>
  </si>
  <si>
    <t>AdvancePayment Under Reverse Charge</t>
  </si>
  <si>
    <t>Adjustment Against Credit</t>
  </si>
  <si>
    <t>Purchase Against Advance Payment</t>
  </si>
  <si>
    <t>Import of Capital Goods</t>
  </si>
  <si>
    <t>ISD Transfer</t>
  </si>
  <si>
    <t>Purchase from SEZ</t>
  </si>
  <si>
    <t>Purchase Under Reverse Charge</t>
  </si>
  <si>
    <t>TCS Adjustment</t>
  </si>
  <si>
    <t>TDS Adjustment</t>
  </si>
  <si>
    <t>Transitional Credit</t>
  </si>
  <si>
    <t>Consumer</t>
  </si>
  <si>
    <t>Unregistered</t>
  </si>
  <si>
    <t>CGST</t>
  </si>
  <si>
    <t>Cash-in-hand</t>
  </si>
  <si>
    <t>Stock-in-hand</t>
  </si>
  <si>
    <t>Buyer Local</t>
  </si>
  <si>
    <t>Item 12%</t>
  </si>
  <si>
    <t>Item 18%</t>
  </si>
  <si>
    <t>Sheet 1</t>
  </si>
  <si>
    <t>SGST</t>
  </si>
  <si>
    <t>Purchase Local @ 18%</t>
  </si>
  <si>
    <t>B,D,C,H,A,,,I,,,,,,,,,,,,,,,,,,,,,,,,,,,,,,,,,K,M,,N,O,,,,,P,Q,R,S,T,U,,,,,,,,,,,,,</t>
  </si>
  <si>
    <t>Sales Local @ 12%</t>
  </si>
  <si>
    <t>Sales Local @ 18%</t>
  </si>
  <si>
    <t>Pur-1</t>
  </si>
  <si>
    <t>Sal-1</t>
  </si>
  <si>
    <t>मल्टी लाइन
नरेशन</t>
  </si>
  <si>
    <t>Rcpt-1</t>
  </si>
  <si>
    <t>Pmt-1</t>
  </si>
  <si>
    <t>PurRef-1</t>
  </si>
  <si>
    <t>SalRef-1</t>
  </si>
  <si>
    <t>AdvPmt-1</t>
  </si>
  <si>
    <t>ये एक ओपन सोर्स फाइल है, इसमें किसी तरह की कोई प्रोटेक्शन या रोक नहीं है</t>
  </si>
  <si>
    <t>अभी इसमें कुछ कॉलम हाईड हैं, यदि आवश्यकता हो तो उनका भी यूज़ किया जा सकता है</t>
  </si>
  <si>
    <t>अभी ये रो नंबर 1000 तक के डाटा को टैली में पोस्ट या उसकी XML फाइल लिख सकती है</t>
  </si>
  <si>
    <t>यदि रो कम या ज्यादा करना चाहें तो mPublic मोड्यूल में ESH नाम के Enum के MaxRow एलिमेंट की की वैल्यू अपने मुताबिक घटा या बढ़ा सकते हैं</t>
  </si>
  <si>
    <t xml:space="preserve">वैसे तो इसके कोड को सावधानी पूर्वक लिखा गया है, फिर भी किसी भी तरह की त्रुटी की जिम्मेदारी नहीं ली गई है </t>
  </si>
  <si>
    <t xml:space="preserve">एंट्रीज़ में यूज़ होने वाले सभी लेजर्स और स्टॉक आइटम्स टैली में पहले से ही क्रिएट होने चाहिए </t>
  </si>
  <si>
    <t>ये केवल 6 तरह के वाउचर: Journal, Contra, Purchse, Sales, Dedit Note, Credit Note, Receipt और Payment की एंट्रीज़ को ही क्रिएट कर सकती है</t>
  </si>
  <si>
    <t>टैली को सिंक कैसे करना है:</t>
  </si>
  <si>
    <t>ये मान सकते हैं कि आज सभी के पास 64 बिट वाले ही कंप्यूटर हैं, इसलिए टैली तो 64 बिट पर ही होगी, वैसे भी टैली प्राइम तो 32 बिट को सपोर्ट भी नहीं करती है</t>
  </si>
  <si>
    <t>अब इस फोल्डर में "regodbc32.exe" फाइल को "Run as administrator" करना है, ऐसा करने के बाद मुमकिन है कि अगले प्रयास में टैली सिंक हो जाएगी</t>
  </si>
  <si>
    <t>अगर एक्सेल 32 का है और Tally ERP9  है और  सिंक नहीं हो रही है तब</t>
  </si>
  <si>
    <t>अगर एक्सेल 32 का है और Tally Prime  है और  सिंक नहीं हो रही है तब</t>
  </si>
  <si>
    <t>Tally ERP9 के डेस्कटॉप आइकॉन पर राईट क्लिक करके "Open file location" पर क्लिक करना है</t>
  </si>
  <si>
    <t>Both</t>
  </si>
  <si>
    <t>Tally is acting as:</t>
  </si>
  <si>
    <t>Enable ODBC server:</t>
  </si>
  <si>
    <t>Yes</t>
  </si>
  <si>
    <t>Port:</t>
  </si>
  <si>
    <r>
      <t xml:space="preserve">यदि किसी तरह का कोई सवाल हो और बहुत ही आवश्यक हो तब </t>
    </r>
    <r>
      <rPr>
        <b/>
        <sz val="12"/>
        <color theme="6" tint="-0.499984740745262"/>
        <rFont val="Aptos Narrow"/>
        <family val="2"/>
        <scheme val="minor"/>
      </rPr>
      <t>+91-8299-199-667</t>
    </r>
    <r>
      <rPr>
        <sz val="12"/>
        <color theme="6" tint="-0.499984740745262"/>
        <rFont val="Aptos Narrow"/>
        <family val="2"/>
        <scheme val="minor"/>
      </rPr>
      <t xml:space="preserve"> </t>
    </r>
    <r>
      <rPr>
        <sz val="11"/>
        <color theme="7" tint="-0.499984740745262"/>
        <rFont val="Aptos Narrow"/>
        <family val="2"/>
        <scheme val="minor"/>
      </rPr>
      <t>पर WhatsApp कर सकते हैं</t>
    </r>
  </si>
  <si>
    <t>ये किसी भी भाषा के लेजर्स, नरेशन, डिस्क्रिप्शन आदि को भी सीधे टैली में पोस्ट करने में सक्षम है</t>
  </si>
  <si>
    <t>ऐसे में पहले Tally ERP9 का कोई भी GST सपोर्टेड वर्ज़न इनस्टॉल करना है, इसके बाद लाइन 46 और 47 वाली प्रक्रिया ही दोहराना है</t>
  </si>
  <si>
    <t>यदि पोर्ट कुछ और चाहिए है तो mPublic module की प्रॉपर्टी PORT की वैल्यू चेंज करके कर सकते हैं</t>
  </si>
  <si>
    <t>ये सुनिश्चित करने के लिए कि टैली से डाटा का आदान प्रदान हो सकता है या नहीं</t>
  </si>
  <si>
    <t>लिमिटेशंस:</t>
  </si>
  <si>
    <t>एवं टैली से एक्टिव कंपनी की कुछ डिटेल्स कलेक्ट करने के लिए जो एंट्रीज़ को जनरेट में सहायक होती हैं</t>
  </si>
  <si>
    <t>सबसे पहले तो टैली को "Run as administrator" ओपन करना है और टैली में नीचे दी गयी सेटिंग अप्लाई कर देना है</t>
  </si>
  <si>
    <t>ये फाइल Tally ERP9 और Tally Prime दोनों के साथ काम करने में सक्षम है</t>
  </si>
  <si>
    <t>ये सेल की डाटा वेलिडेशन लिस्ट को टैली के वर्ज़न और वाउचर के अकार्डिंग शो करने में सक्षम है, लेकिन इस कारण एक्सेल का Redo/Undo फंक्शन काम नहीं करता है,</t>
  </si>
  <si>
    <t>यदि एक्सेल के Redo/Undo को एक्टिव रखना चाहते तो enSH मोड्यूल में Worksheet_SelectionChange फंक्शन को डिलीट या कमेंट-आउट कर सकते हैं</t>
  </si>
  <si>
    <t xml:space="preserve">ये एक मिनट में तक़रीबन 1000 एंट्रीज़ की XML फाइल या तक़रीबन 100 एंट्रीज़ को टैली में पोस्ट कर देती है (ये संख्या कंप्यूटर के हिसाब से कम या ज्यादा भी हो सकती है) </t>
  </si>
  <si>
    <t>Supplier Local  (मु. जमील)</t>
  </si>
  <si>
    <t>Purchase Local @ 12%</t>
  </si>
  <si>
    <t>StateName</t>
  </si>
  <si>
    <t>Other Ledgers Like:= EXPENSES, INCOMES, GST  or as per entry requirement</t>
  </si>
  <si>
    <t>VOUCHER TYPE</t>
  </si>
  <si>
    <t>VOUCHER NO.</t>
  </si>
  <si>
    <t>VCH DATE</t>
  </si>
  <si>
    <t>TOP LEDGER</t>
  </si>
  <si>
    <t>LEDGER 2</t>
  </si>
  <si>
    <t>डेबिट अमाउंट के लिए - (Negetive Sign) का यूज़ केवल बिल्स के अमाउंट और Journal वाउचर में ही करना है</t>
  </si>
  <si>
    <t>अगर एक्सेल 64 बिट का है तब तो कुछ नहीं करना है, केवल  "Sync Tally" बटन को क्लिक करना है</t>
  </si>
  <si>
    <t>ये कस्टम नेम वाउचर को भी सपोर्ट करती है</t>
  </si>
  <si>
    <t>टैली में किसी भी Group या Ldger का Sort Index चेंज नहीं करना है, क्यूंकि ये वाउचर की  पहचान उसके नाम से नहीं बल्कि उसके सॉर्ट इंडेक्स से करती है</t>
  </si>
  <si>
    <t>Date</t>
  </si>
  <si>
    <t>Particular</t>
  </si>
  <si>
    <t>Voucher</t>
  </si>
  <si>
    <t>Vch No.</t>
  </si>
  <si>
    <t>Narration</t>
  </si>
  <si>
    <t>Debit</t>
  </si>
  <si>
    <t>Credit</t>
  </si>
  <si>
    <t>Balance</t>
  </si>
  <si>
    <t>Total</t>
  </si>
  <si>
    <t>पहले एक दो एंट्री पोस्ट करने के बाद उन एंट्रीज़ का इफ़ेक्ट टैली में सभी जगह देख लें, खास तौर से GST रिपोर्ट्स,सब कुछ सही होने पर ही आगे इसका इस्तेमाल करें</t>
  </si>
  <si>
    <t>यदि यूजर को VBA का नोलेज है, तब वो  चाहे तो कोड में ज़रुरत के मुताबिक बदलाव कर सकता है</t>
  </si>
  <si>
    <t>ये फाइल को VAT के लिए कॉन्फ़िगर नहीं किया गया है</t>
  </si>
  <si>
    <t>Payment, Receipt एंट्रीज़ सिर्फ सिंगल एंट्री मोड में ही क्रिएट हो सकती हैं</t>
  </si>
  <si>
    <t>Purchase, Sales, Debit Note और Credit Note एंट्रीज़ सिर्फ इनवॉइस मोड में ही क्रिएट हो सकती हैं</t>
  </si>
  <si>
    <t>टैली को सिंक क्यूँ करना  है:</t>
  </si>
  <si>
    <t>इस फाइल का पहली बार यूज़ करने से पहले एक बार टैली का बेक-अप अवश्य लें</t>
  </si>
  <si>
    <t>NEXT ENTRY DETECTION METHOD:=  Unique "VOUCHER NO."   of  "VOUCHER TYPE"</t>
  </si>
  <si>
    <t>SELECT VoucherType.$Name, VoucherType.$SortPosition FROM `MyCompanyName`.TallyUser.VoucherType Groups WHERE (VoucherType.$SortPosition=10 OR VoucherType.$SortPosition=20 OR VoucherType.$SortPosition=30 OR VoucherType.$SortPosition=40 OR VoucherType.$SortPosition=50 OR VoucherType.$SortPosition=60  OR VoucherType.$SortPosition=70 OR VoucherType.$SortPosition=80) ORDER BY VoucherType.$SortPosition</t>
  </si>
  <si>
    <t>SELECT StockItem.$Name, IF StockItem.$BaseUnits='_x0004_ Not Applicable' THEN '' ELSE StockItem.$BaseUnits FROM `MyCompanyName`.TallyUser.StockItem StockItem</t>
  </si>
  <si>
    <t>SELECT Ledger.$Name FROM `MyCompanyName`.TallyUser.Ledger Ledger WHERE Ledger.$Parent&lt;&gt;'_x0004_ Primary'</t>
  </si>
  <si>
    <t>SELECT Ledger.$Name FROM `MyCompanyName`.TallyUser.Ledger Ledger  JOIN `MyCompanyName`.TallyUser.Groups Groups WHERE Ledger.$_PrimaryGroup=Groups.$Name AND (Groups.$SortPosition=70 OR Groups.$SortPosition=110 OR Groups.$SortPosition=160 OR Groups.$SortPosition=200 OR Groups.$SortPosition=210 OR Groups.$SortPosition=220)</t>
  </si>
  <si>
    <t>SELECT Ledger.$Name FROM `MyCompanyName`.TallyUser.Ledger Ledger  JOIN `MyCompanyName`.TallyUser.Groups Groups WHERE Ledger.$_PrimaryGroup=Groups.$Name AND (Groups.$SortPosition=40 OR Groups.$SortPosition=150 OR Groups.$SortPosition=240 OR Groups.$SortPosition=260)</t>
  </si>
  <si>
    <t>SELECT Ledger.$Name FROM `MyCompanyName`.TallyUser.Ledger Ledger  JOIN `MyCompanyName`.TallyUser.Groups Groups WHERE Ledger.$_PrimaryGroup=Groups.$Name AND (Groups.$SortPosition=230 OR Groups.$SortPosition=250)</t>
  </si>
  <si>
    <t>SELECT Ledger.$Name FROM `MyCompanyName`.TallyUser.Ledger Ledger  JOIN `MyCompanyName`.TallyUser.Groups Groups WHERE Ledger.$_PrimaryGroup=Groups.$Name AND (Groups.$SortPosition=30 OR Groups.$SortPosition=40 OR Groups.$SortPosition=60 OR Groups.$SortPosition=80 OR Groups.$SortPosition=140 OR Groups.$SortPosition=150 OR Groups.$SortPosition=240 OR Groups.$SortPosition=250 OR Groups.$SortPosition=260 OR Groups.$SortPosition=270 OR Groups.$SortPosition=280)</t>
  </si>
  <si>
    <t>SELECT Ledger.$Name FROM `MyCompanyName`.TallyUser.Ledger Ledger  JOIN `MyCompanyName`.TallyUser.Groups Groups WHERE Ledger.$_PrimaryGroup=Groups.$Name AND (Groups.$SortPosition=30 OR Groups.$SortPosition=60 OR Groups.$SortPosition=140 OR Groups.$SortPosition=230 OR Groups.$SortPosition=250 OR Groups.$SortPosition=260 OR Groups.$SortPosition=270 OR Groups.$SortPosition=280)</t>
  </si>
  <si>
    <t>SELECT Ledger.$Name FROM `MyCompanyName`.TallyUser.Ledger Ledger  JOIN `MyCompanyName`.TallyUser.Groups Groups WHERE Ledger.$_PrimaryGroup=Groups.$Name AND (Groups.$SortPosition=40 OR Groups.$SortPosition=150 OR Groups.$SortPosition=230 OR Groups.$SortPosition=240 OR Groups.$SortPosition=260 OR Groups.$SortPosition=270)</t>
  </si>
  <si>
    <t>SELECT Ledger.$Name FROM `MyCompanyName`.TallyUser.Ledger Ledger  JOIN `MyCompanyName`.TallyUser.Groups Groups WHERE Ledger.$_PrimaryGroup=Groups.$Name AND (Groups.$SortPosition=30 OR Groups.$SortPosition=40 OR Groups.$SortPosition=60 OR Groups.$SortPosition=80 OR Groups.$SortPosition=140 OR Groups.$SortPosition=150 OR Groups.$SortPosition=230 OR Groups.$SortPosition=240 OR Groups.$SortPosition=250 OR Groups.$SortPosition=260 OR Groups.$SortPosition=270 OR Groups.$SortPosition=280)</t>
  </si>
  <si>
    <t>SELECT Ledger.$Name FROM `MyCompanyName`.TallyUser.Ledger Ledger  JOIN `MyCompanyName`.TallyUser.Groups Groups WHERE Ledger.$_PrimaryGroup=Groups.$Name AND (Groups.$SortPosition=110 OR Groups.$SortPosition=210 OR Groups.$SortPosition=220)</t>
  </si>
  <si>
    <t>SELECT Ledger.$Name FROM `MyCompanyName`.TallyUser.Ledger Ledger  JOIN `MyCompanyName`.TallyUser.Groups Groups WHERE Ledger.$_PrimaryGroup=Groups.$Name AND (Groups.$SortPosition=110 OR Groups.$SortPosition=220)</t>
  </si>
  <si>
    <t>SELECT Ledger.$Name FROM `MyCompanyName`.TallyUser.Ledger Ledger  JOIN `MyCompanyName`.TallyUser.Groups Groups WHERE Ledger.$_PrimaryGroup=Groups.$Name AND (Groups.$SortPosition=70 OR Groups.$SortPosition=160 OR Groups.$SortPosition=200)</t>
  </si>
  <si>
    <t>SELECT ListOfGodowns.$Name FROM `MyCompanyName`.TallyUser.ListOfGodowns ListOfGodowns</t>
  </si>
  <si>
    <t>SELECT Groups.$Name FROM `MyCompanyName`.TallyUser.Groups Groups</t>
  </si>
  <si>
    <t>SELECT Company.$Name, Company.$IsBillWiseOn, Company.$IsInventoryOn, Company.$IsBatchWiseOn, Company.$_Address1+'@$^'+Company.$_Address2+'@$^'+Company.$_Address3+'@$^'+Company.$_Address4+'@$^'+Company.$_Address5+'@$^'+Company.$EMail, IF Company.$StateName='_x0004_ Not Applicable' THEN '' ELSE Company.$StateName, Company.$PinCode, Company.$CountryName, Company.$IsGSTOn, Company.$GSTRegistrationNumber, Company.$GSTRegistrationType FROM `MyCompanyName`.TallyUser.Company Company WHERE Company.$Name='MyCompanyName'</t>
  </si>
  <si>
    <t>Purchase A/c</t>
  </si>
  <si>
    <t>Sales A/c</t>
  </si>
  <si>
    <t>Kg</t>
  </si>
  <si>
    <t>उदहारण के लिए ऊपर 4 सैंपल एंट्रीज़ लिखी गई  हैं, ओपरेट करने के लिए फंक्शनल बटन्स Home टैब के Excel To Tally ग्रुप में दिए गए हैं</t>
  </si>
  <si>
    <t>Alias</t>
  </si>
  <si>
    <t>TallyType</t>
  </si>
  <si>
    <t>DEMO COMPANY @ [ 2023-24 ]</t>
  </si>
  <si>
    <t>Adjust</t>
  </si>
  <si>
    <t>0</t>
  </si>
  <si>
    <t>284334</t>
  </si>
  <si>
    <t>Bank OD</t>
  </si>
  <si>
    <t>Buyer Interstate</t>
  </si>
  <si>
    <t>06AGYPM4421D1ZC</t>
  </si>
  <si>
    <t>09AAJCS5234J1Z0</t>
  </si>
  <si>
    <t>284001</t>
  </si>
  <si>
    <t>Buyer Unregistered</t>
  </si>
  <si>
    <t>Capital Accounts</t>
  </si>
  <si>
    <t>Cash/Cheque</t>
  </si>
  <si>
    <t>Cess</t>
  </si>
  <si>
    <t>CGST 12%</t>
  </si>
  <si>
    <t>CGST 18%</t>
  </si>
  <si>
    <t>18</t>
  </si>
  <si>
    <t>1</t>
  </si>
  <si>
    <t>Expenses with GST 12%</t>
  </si>
  <si>
    <t>IGST</t>
  </si>
  <si>
    <t>Loans (Liabilities)</t>
  </si>
  <si>
    <t>Misc. Expenses (ASSETS)</t>
  </si>
  <si>
    <t>Purchase @ 12%</t>
  </si>
  <si>
    <t>Purchase @ 18%</t>
  </si>
  <si>
    <t>Purchase @ 28%</t>
  </si>
  <si>
    <t>Purchase Local @ 28%</t>
  </si>
  <si>
    <t>Purchase Loclal @ 12%</t>
  </si>
  <si>
    <t>Purchase NIL Rated</t>
  </si>
  <si>
    <t>Purchase NoneTax</t>
  </si>
  <si>
    <t>Sales @ 12%</t>
  </si>
  <si>
    <t>Sales @ 18%</t>
  </si>
  <si>
    <t>Sales @ 28%</t>
  </si>
  <si>
    <t>Sales Local @ 28%</t>
  </si>
  <si>
    <t>Sales NIL Rated</t>
  </si>
  <si>
    <t>Sales NoneTax</t>
  </si>
  <si>
    <t>SGST 12%</t>
  </si>
  <si>
    <t>SGST 18%</t>
  </si>
  <si>
    <t>Supplier Interstate</t>
  </si>
  <si>
    <t>06BWCPP3581L1Z5</t>
  </si>
  <si>
    <t>PINCODE</t>
  </si>
  <si>
    <t>Supplier local (मु. जमील)</t>
  </si>
  <si>
    <t>09ADPPT7513D2Z6</t>
  </si>
  <si>
    <t>Item NIL Rated</t>
  </si>
  <si>
    <t>Item_1</t>
  </si>
  <si>
    <t>1st Godown</t>
  </si>
  <si>
    <t>NOS</t>
  </si>
  <si>
    <t>22,BADA KUNWA PULIYA NO. 9
JHANSI
jamil74@live.com</t>
  </si>
  <si>
    <t xml:space="preserve">SBI Jhansi
</t>
  </si>
  <si>
    <t xml:space="preserve">Mathura
Institute
</t>
  </si>
  <si>
    <t xml:space="preserve">Rohtak
</t>
  </si>
  <si>
    <t>HN-20
THAKURYANA
MONTH
JHANSI
UP</t>
  </si>
  <si>
    <t xml:space="preserve">9 No.
Jhansi
</t>
  </si>
  <si>
    <t xml:space="preserve">Agra
</t>
  </si>
  <si>
    <t>LedAlias</t>
  </si>
  <si>
    <t>SELECT StockItem.$Name, IF StockItem.$BaseUnits='_x0004_ Not Applicable' THEN '' ELSE StockItem.$BaseUnits, StockItem.$_FirstAlias FROM `MyCompanyName`.TallyUser.StockItem StockItem</t>
  </si>
  <si>
    <t>ItemAlias</t>
  </si>
  <si>
    <t>SELECT Ledger.$Name, Groups.$SortPosition, IF Ledger.$GSTApplicable='_x0004_ Applicable' THEN 1 ELSE 0, Ledger.$_IntegratedTax, Ledger.$_Cess, Ledger.$_PartyGSTIN, Ledger.$_Address1+'@$^'+Ledger.$_Address2+'@$^'+Ledger.$_Address3+'@$^'+Ledger.$_Address4+'@$^'+Ledger.$_Address5, IF Ledger.$StateName='_x0004_ Not Applicable' THEN '' ELSE Ledger.$StateName, Ledger.$PINCode, Ledger.$IsBillWiseOn, Ledger.$_FirstAlias FROM `MyCompanyName`.TallyUser.Ledger Ledger JOIN `MyCompanyName`.TallyUser.Groups Groups WHERE Ledger.$Parent&lt;&gt;'_x0004_ Primary' AND Ledger.$_PrimaryGroup=Groups.$Name GROUP BY Ledger.$Name</t>
  </si>
  <si>
    <t>SELECT Ledger.$Name, Groups.$SortPosition, IF Ledger.$GSTApplicable='_x0004_ Applicable' THEN 1 ELSE 0, Ledger.$_IntegratedTax, Ledger.$_Cess, Ledger.$PartyGSTIN, Ledger.$_Address1+'@$^'+Ledger.$_Address2+'@$^'+Ledger.$_Address3+'@$^'+Ledger.$_Address4+'@$^'+Ledger.$_Address5, IF Ledger.$StateName='_x0004_ Not Applicable' THEN '' ELSE Ledger.$StateName, Ledger.$PINCode, Ledger.$IsBillWiseOn FROM `MyCompanyName`.TallyUser.Ledger Ledger JOIN `MyCompanyName`.TallyUser.Groups Groups WHERE Ledger.$Parent&lt;&gt;'_x0004_ Primary' AND Ledger.$_PrimaryGroup=Groups.$Name GROUP BY Ledger.$Name</t>
  </si>
  <si>
    <t>AMOUNT 2</t>
  </si>
  <si>
    <t>Example for Purchase of Multi GST rate in single invoice.</t>
  </si>
  <si>
    <t>Item Alias</t>
  </si>
  <si>
    <t>Alias of Buyer Local</t>
  </si>
  <si>
    <t>Alias of Item 12%</t>
  </si>
  <si>
    <t>Report Period :   From 01-Apr-2024  To  30-Apr-2024</t>
  </si>
  <si>
    <t>Ledger  :  सुरेन्द्र सिंह</t>
  </si>
  <si>
    <t>लेजर और आइटम Alias सिर्फ टैली प्राइम में सपोर्ट करते 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</si>
</sst>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quot;Cr&quot;;#,###.00\ &quot;Dr&quot;"/>
    <numFmt numFmtId="165" formatCode="dd\-mmm\-yyyy"/>
    <numFmt numFmtId="166" formatCode="#,##0.00;#,##0.00"/>
    <numFmt numFmtId="167" formatCode="#,##0.00\ \ &quot;Cr&quot;;#,##0.00\ \ &quot;Dr&quot;;#,##0.00"/>
  </numFmts>
  <fonts count="26" x14ac:knownFonts="1">
    <font>
      <sz val="11"/>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sz val="10"/>
      <color theme="1"/>
      <name val="Aptos Narrow"/>
      <family val="2"/>
      <scheme val="minor"/>
    </font>
    <font>
      <b/>
      <sz val="11"/>
      <color theme="1"/>
      <name val="Aptos Narrow"/>
      <family val="2"/>
      <scheme val="minor"/>
    </font>
    <font>
      <b/>
      <sz val="11"/>
      <color theme="0"/>
      <name val="Aptos Narrow"/>
      <family val="2"/>
      <scheme val="minor"/>
    </font>
    <font>
      <b/>
      <sz val="18"/>
      <color rgb="FFFF0000"/>
      <name val="Aptos Narrow"/>
      <family val="2"/>
      <scheme val="minor"/>
    </font>
    <font>
      <sz val="8"/>
      <name val="Aptos Narrow"/>
      <family val="2"/>
      <scheme val="minor"/>
    </font>
    <font>
      <b/>
      <sz val="10"/>
      <color theme="0"/>
      <name val="Aptos Narrow"/>
      <family val="2"/>
      <scheme val="minor"/>
    </font>
    <font>
      <sz val="10"/>
      <color theme="0"/>
      <name val="Aptos Narrow"/>
      <family val="2"/>
      <scheme val="minor"/>
    </font>
    <font>
      <sz val="11"/>
      <name val="Aptos Narrow"/>
      <family val="2"/>
      <scheme val="minor"/>
    </font>
    <font>
      <sz val="11"/>
      <color rgb="FFFF0000"/>
      <name val="Aptos Narrow"/>
      <family val="2"/>
      <scheme val="minor"/>
    </font>
    <font>
      <b/>
      <sz val="10"/>
      <color rgb="FFFFFF00"/>
      <name val="Aptos Narrow"/>
      <family val="2"/>
      <scheme val="minor"/>
    </font>
    <font>
      <sz val="11"/>
      <color theme="7" tint="-0.499984740745262"/>
      <name val="Aptos Narrow"/>
      <family val="2"/>
      <scheme val="minor"/>
    </font>
    <font>
      <sz val="11"/>
      <color theme="4" tint="-0.249977111117893"/>
      <name val="Aptos Narrow"/>
      <family val="2"/>
      <scheme val="minor"/>
    </font>
    <font>
      <sz val="11"/>
      <color theme="7" tint="-0.249977111117893"/>
      <name val="Aptos Narrow"/>
      <family val="2"/>
      <scheme val="minor"/>
    </font>
    <font>
      <b/>
      <sz val="12"/>
      <color theme="6" tint="-0.499984740745262"/>
      <name val="Aptos Narrow"/>
      <family val="2"/>
      <scheme val="minor"/>
    </font>
    <font>
      <sz val="12"/>
      <color theme="6" tint="-0.499984740745262"/>
      <name val="Aptos Narrow"/>
      <family val="2"/>
      <scheme val="minor"/>
    </font>
    <font>
      <i/>
      <sz val="10"/>
      <color theme="1"/>
      <name val="Aptos Narrow"/>
      <family val="2"/>
      <scheme val="minor"/>
    </font>
    <font>
      <b/>
      <sz val="10"/>
      <color theme="1"/>
      <name val="Aptos Narrow"/>
      <family val="2"/>
      <scheme val="minor"/>
    </font>
    <font>
      <b/>
      <i/>
      <sz val="18"/>
      <color theme="1"/>
      <name val="Aptos Narrow"/>
      <family val="2"/>
      <scheme val="minor"/>
    </font>
    <font>
      <b/>
      <i/>
      <sz val="14"/>
      <color theme="1"/>
      <name val="Aptos Narrow"/>
      <family val="2"/>
      <scheme val="minor"/>
    </font>
    <font>
      <sz val="11"/>
      <color rgb="FFC00000"/>
      <name val="Aptos Narrow"/>
      <family val="2"/>
      <scheme val="minor"/>
    </font>
  </fonts>
  <fills count="17">
    <fill>
      <patternFill patternType="none"/>
    </fill>
    <fill>
      <patternFill patternType="gray125"/>
    </fill>
    <fill>
      <patternFill patternType="solid">
        <fgColor theme="3" tint="0.499984740745262"/>
        <bgColor indexed="64"/>
      </patternFill>
    </fill>
    <fill>
      <patternFill patternType="solid">
        <fgColor theme="0" tint="-0.249977111117893"/>
        <bgColor indexed="64"/>
      </patternFill>
    </fill>
    <fill>
      <patternFill patternType="solid">
        <fgColor theme="3" tint="0.749992370372631"/>
        <bgColor indexed="64"/>
      </patternFill>
    </fill>
    <fill>
      <patternFill patternType="solid">
        <fgColor theme="0" tint="-0.499984740745262"/>
        <bgColor indexed="64"/>
      </patternFill>
    </fill>
    <fill>
      <patternFill patternType="solid">
        <fgColor theme="1" tint="4.9989318521683403E-2"/>
        <bgColor indexed="64"/>
      </patternFill>
    </fill>
    <fill>
      <patternFill patternType="solid">
        <fgColor rgb="FF150DAF"/>
        <bgColor indexed="64"/>
      </patternFill>
    </fill>
    <fill>
      <patternFill patternType="solid">
        <fgColor rgb="FF0D1A5B"/>
        <bgColor indexed="64"/>
      </patternFill>
    </fill>
    <fill>
      <patternFill patternType="solid">
        <fgColor theme="6" tint="-0.249977111117893"/>
        <bgColor indexed="64"/>
      </patternFill>
    </fill>
    <fill>
      <patternFill patternType="solid">
        <fgColor theme="6" tint="-0.499984740745262"/>
        <bgColor indexed="64"/>
      </patternFill>
    </fill>
    <fill>
      <patternFill patternType="solid">
        <fgColor rgb="FF8C6C1C"/>
        <bgColor indexed="64"/>
      </patternFill>
    </fill>
    <fill>
      <patternFill patternType="solid">
        <fgColor rgb="FF574311"/>
        <bgColor indexed="64"/>
      </patternFill>
    </fill>
    <fill>
      <patternFill patternType="solid">
        <fgColor theme="2" tint="-0.749992370372631"/>
        <bgColor indexed="64"/>
      </patternFill>
    </fill>
    <fill>
      <patternFill patternType="solid">
        <fgColor rgb="FF0070C0"/>
        <bgColor indexed="64"/>
      </patternFill>
    </fill>
    <fill>
      <patternFill patternType="solid">
        <fgColor theme="7" tint="-0.499984740745262"/>
        <bgColor indexed="64"/>
      </patternFill>
    </fill>
    <fill>
      <patternFill patternType="solid">
        <fgColor rgb="FFD9D9D9"/>
        <bgColor indexed="64"/>
      </patternFill>
    </fill>
  </fills>
  <borders count="7">
    <border>
      <left/>
      <right/>
      <top/>
      <bottom/>
      <diagonal/>
    </border>
    <border>
      <left style="thin">
        <color indexed="64"/>
      </left>
      <right style="thin">
        <color indexed="64"/>
      </right>
      <top style="thin">
        <color indexed="64"/>
      </top>
      <bottom style="thick">
        <color indexed="64"/>
      </bottom>
      <diagonal/>
    </border>
    <border>
      <left/>
      <right/>
      <top style="thick">
        <color indexed="64"/>
      </top>
      <bottom/>
      <diagonal/>
    </border>
    <border>
      <left/>
      <right/>
      <top/>
      <bottom style="medium">
        <color indexed="64"/>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4">
    <xf numFmtId="0" fontId="0" fillId="0" borderId="0" xfId="0"/>
    <xf numFmtId="0" fontId="0" fillId="0" borderId="0" xfId="0" applyAlignment="1">
      <alignment horizontal="right"/>
    </xf>
    <xf numFmtId="14" fontId="0" fillId="0" borderId="0" xfId="0" applyNumberFormat="1"/>
    <xf numFmtId="0" fontId="7" fillId="3" borderId="0" xfId="0" applyFont="1" applyFill="1"/>
    <xf numFmtId="0" fontId="0" fillId="0" borderId="0" xfId="0" applyAlignment="1">
      <alignment horizontal="left"/>
    </xf>
    <xf numFmtId="0" fontId="9" fillId="0" borderId="0" xfId="0" applyFont="1"/>
    <xf numFmtId="0" fontId="7" fillId="2" borderId="0" xfId="0" applyFont="1" applyFill="1" applyAlignment="1">
      <alignment horizontal="right"/>
    </xf>
    <xf numFmtId="0" fontId="7" fillId="0" borderId="0" xfId="0" applyFont="1"/>
    <xf numFmtId="0" fontId="7" fillId="4" borderId="0" xfId="0" applyFont="1" applyFill="1"/>
    <xf numFmtId="0" fontId="7" fillId="2" borderId="0" xfId="0" applyFont="1" applyFill="1"/>
    <xf numFmtId="0" fontId="7" fillId="5" borderId="0" xfId="0" applyFont="1" applyFill="1"/>
    <xf numFmtId="0" fontId="8" fillId="7" borderId="1" xfId="0" quotePrefix="1" applyFont="1" applyFill="1" applyBorder="1" applyAlignment="1">
      <alignment horizontal="center"/>
    </xf>
    <xf numFmtId="0" fontId="8" fillId="7" borderId="1" xfId="0" applyFont="1" applyFill="1" applyBorder="1" applyAlignment="1">
      <alignment horizontal="center"/>
    </xf>
    <xf numFmtId="0" fontId="8" fillId="9" borderId="1" xfId="0" quotePrefix="1" applyFont="1" applyFill="1" applyBorder="1" applyAlignment="1">
      <alignment horizontal="center"/>
    </xf>
    <xf numFmtId="0" fontId="8" fillId="9" borderId="1" xfId="0" applyFont="1" applyFill="1" applyBorder="1" applyAlignment="1">
      <alignment horizontal="center"/>
    </xf>
    <xf numFmtId="0" fontId="8" fillId="11" borderId="1" xfId="0" applyFont="1" applyFill="1" applyBorder="1" applyAlignment="1">
      <alignment horizontal="center"/>
    </xf>
    <xf numFmtId="0" fontId="8" fillId="13" borderId="1" xfId="0" quotePrefix="1" applyFont="1" applyFill="1" applyBorder="1" applyAlignment="1">
      <alignment horizontal="center"/>
    </xf>
    <xf numFmtId="0" fontId="8" fillId="13" borderId="1" xfId="0" applyFont="1" applyFill="1" applyBorder="1" applyAlignment="1">
      <alignment horizontal="center"/>
    </xf>
    <xf numFmtId="0" fontId="8" fillId="14" borderId="1" xfId="0" quotePrefix="1" applyFont="1" applyFill="1" applyBorder="1" applyAlignment="1">
      <alignment horizontal="center"/>
    </xf>
    <xf numFmtId="0" fontId="12" fillId="6" borderId="0" xfId="0" applyFont="1" applyFill="1" applyAlignment="1">
      <alignment vertical="center"/>
    </xf>
    <xf numFmtId="0" fontId="11" fillId="12" borderId="0" xfId="0" applyFont="1" applyFill="1" applyAlignment="1">
      <alignment vertical="center"/>
    </xf>
    <xf numFmtId="0" fontId="11" fillId="15" borderId="0" xfId="0" applyFont="1" applyFill="1" applyAlignment="1">
      <alignment vertical="center"/>
    </xf>
    <xf numFmtId="0" fontId="11" fillId="8" borderId="0" xfId="0" applyFont="1" applyFill="1" applyAlignment="1">
      <alignment vertical="center"/>
    </xf>
    <xf numFmtId="0" fontId="11" fillId="10" borderId="0" xfId="0" applyFont="1" applyFill="1" applyAlignment="1">
      <alignment vertical="center"/>
    </xf>
    <xf numFmtId="0" fontId="12" fillId="8" borderId="0" xfId="0" applyFont="1" applyFill="1" applyAlignment="1">
      <alignment vertical="center"/>
    </xf>
    <xf numFmtId="0" fontId="12" fillId="10" borderId="0" xfId="0" applyFont="1" applyFill="1" applyAlignment="1">
      <alignment vertical="center"/>
    </xf>
    <xf numFmtId="0" fontId="12" fillId="12" borderId="0" xfId="0" applyFont="1" applyFill="1" applyAlignment="1">
      <alignment vertical="center"/>
    </xf>
    <xf numFmtId="0" fontId="0" fillId="0" borderId="0" xfId="0" quotePrefix="1" applyAlignment="1">
      <alignment horizontal="left"/>
    </xf>
    <xf numFmtId="0" fontId="7" fillId="2" borderId="0" xfId="0" quotePrefix="1" applyFont="1" applyFill="1" applyAlignment="1">
      <alignment horizontal="left"/>
    </xf>
    <xf numFmtId="0" fontId="13" fillId="0" borderId="0" xfId="0" applyFont="1"/>
    <xf numFmtId="0" fontId="0" fillId="0" borderId="0" xfId="0" quotePrefix="1" applyAlignment="1">
      <alignment horizontal="center"/>
    </xf>
    <xf numFmtId="14" fontId="13" fillId="0" borderId="0" xfId="0" applyNumberFormat="1" applyFont="1"/>
    <xf numFmtId="0" fontId="13" fillId="0" borderId="0" xfId="0" applyFont="1" applyAlignment="1">
      <alignment wrapText="1"/>
    </xf>
    <xf numFmtId="0" fontId="13" fillId="0" borderId="0" xfId="0" quotePrefix="1" applyFont="1" applyAlignment="1">
      <alignment horizontal="center"/>
    </xf>
    <xf numFmtId="0" fontId="13" fillId="0" borderId="2" xfId="0" applyFont="1" applyBorder="1"/>
    <xf numFmtId="14" fontId="13" fillId="0" borderId="2" xfId="0" applyNumberFormat="1" applyFont="1" applyBorder="1"/>
    <xf numFmtId="0" fontId="13" fillId="0" borderId="2" xfId="0" applyFont="1" applyBorder="1" applyAlignment="1">
      <alignment wrapText="1"/>
    </xf>
    <xf numFmtId="14" fontId="13" fillId="0" borderId="2" xfId="0" applyNumberFormat="1" applyFont="1" applyBorder="1" applyAlignment="1">
      <alignment wrapText="1"/>
    </xf>
    <xf numFmtId="0" fontId="13" fillId="0" borderId="3" xfId="0" applyFont="1" applyBorder="1"/>
    <xf numFmtId="14" fontId="13" fillId="0" borderId="3" xfId="0" applyNumberFormat="1" applyFont="1" applyBorder="1"/>
    <xf numFmtId="0" fontId="13" fillId="0" borderId="3" xfId="0" applyFont="1" applyBorder="1" applyAlignment="1">
      <alignment wrapText="1"/>
    </xf>
    <xf numFmtId="14" fontId="13" fillId="0" borderId="3" xfId="0" applyNumberFormat="1" applyFont="1" applyBorder="1" applyAlignment="1">
      <alignment wrapText="1"/>
    </xf>
    <xf numFmtId="0" fontId="13" fillId="0" borderId="5" xfId="0" applyFont="1" applyBorder="1"/>
    <xf numFmtId="14" fontId="13" fillId="0" borderId="5" xfId="0" applyNumberFormat="1" applyFont="1" applyBorder="1"/>
    <xf numFmtId="0" fontId="13" fillId="0" borderId="4" xfId="0" applyFont="1" applyBorder="1"/>
    <xf numFmtId="14" fontId="13" fillId="0" borderId="4" xfId="0" applyNumberFormat="1" applyFont="1" applyBorder="1"/>
    <xf numFmtId="0" fontId="13" fillId="0" borderId="5" xfId="0" quotePrefix="1" applyFont="1" applyBorder="1" applyAlignment="1">
      <alignment horizontal="left"/>
    </xf>
    <xf numFmtId="0" fontId="15" fillId="15" borderId="0" xfId="0" applyFont="1" applyFill="1" applyAlignment="1">
      <alignment vertical="center"/>
    </xf>
    <xf numFmtId="14" fontId="17" fillId="0" borderId="0" xfId="0" applyNumberFormat="1" applyFont="1"/>
    <xf numFmtId="14" fontId="18" fillId="0" borderId="0" xfId="0" applyNumberFormat="1" applyFont="1"/>
    <xf numFmtId="0" fontId="18" fillId="0" borderId="0" xfId="0" applyFont="1"/>
    <xf numFmtId="0" fontId="18" fillId="0" borderId="0" xfId="0" applyFont="1" applyAlignment="1">
      <alignment horizontal="left"/>
    </xf>
    <xf numFmtId="14" fontId="16" fillId="0" borderId="0" xfId="0" applyNumberFormat="1" applyFont="1"/>
    <xf numFmtId="0" fontId="6" fillId="0" borderId="0" xfId="0" applyFont="1"/>
    <xf numFmtId="4" fontId="5" fillId="0" borderId="0" xfId="0" applyNumberFormat="1" applyFont="1" applyAlignment="1">
      <alignment horizontal="right" indent="1"/>
    </xf>
    <xf numFmtId="164" fontId="5" fillId="0" borderId="0" xfId="0" applyNumberFormat="1" applyFont="1" applyAlignment="1">
      <alignment horizontal="right" indent="1"/>
    </xf>
    <xf numFmtId="0" fontId="5" fillId="0" borderId="0" xfId="0" applyFont="1"/>
    <xf numFmtId="165" fontId="22" fillId="16" borderId="6" xfId="0" applyNumberFormat="1" applyFont="1" applyFill="1" applyBorder="1" applyAlignment="1">
      <alignment horizontal="left" vertical="center" wrapText="1" indent="1"/>
    </xf>
    <xf numFmtId="0" fontId="22" fillId="16" borderId="6" xfId="0" applyFont="1" applyFill="1" applyBorder="1" applyAlignment="1">
      <alignment horizontal="left" vertical="center" wrapText="1" indent="1"/>
    </xf>
    <xf numFmtId="166" fontId="22" fillId="16" borderId="6" xfId="0" applyNumberFormat="1" applyFont="1" applyFill="1" applyBorder="1" applyAlignment="1">
      <alignment horizontal="right" vertical="center" wrapText="1" indent="1"/>
    </xf>
    <xf numFmtId="167" fontId="22" fillId="16" borderId="6" xfId="0" applyNumberFormat="1" applyFont="1" applyFill="1" applyBorder="1" applyAlignment="1">
      <alignment horizontal="right" vertical="center" wrapText="1" indent="1"/>
    </xf>
    <xf numFmtId="14" fontId="16" fillId="0" borderId="0" xfId="0" quotePrefix="1" applyNumberFormat="1" applyFont="1" applyAlignment="1">
      <alignment horizontal="left"/>
    </xf>
    <xf numFmtId="14" fontId="17" fillId="0" borderId="0" xfId="0" quotePrefix="1" applyNumberFormat="1" applyFont="1" applyAlignment="1">
      <alignment horizontal="left"/>
    </xf>
    <xf numFmtId="14" fontId="0" fillId="0" borderId="0" xfId="0" quotePrefix="1" applyNumberFormat="1" applyAlignment="1">
      <alignment horizontal="left"/>
    </xf>
    <xf numFmtId="14" fontId="18" fillId="0" borderId="0" xfId="0" quotePrefix="1" applyNumberFormat="1" applyFont="1" applyAlignment="1">
      <alignment horizontal="left"/>
    </xf>
    <xf numFmtId="14" fontId="14" fillId="0" borderId="0" xfId="0" quotePrefix="1" applyNumberFormat="1" applyFont="1" applyAlignment="1">
      <alignment horizontal="left"/>
    </xf>
    <xf numFmtId="0" fontId="15" fillId="6" borderId="0" xfId="0" quotePrefix="1" applyFont="1" applyFill="1" applyAlignment="1">
      <alignment horizontal="left" vertical="center"/>
    </xf>
    <xf numFmtId="165" fontId="4" fillId="0" borderId="0" xfId="0" applyNumberFormat="1" applyFont="1" applyAlignment="1">
      <alignment horizontal="left" vertical="center" wrapText="1" indent="1"/>
    </xf>
    <xf numFmtId="0" fontId="4" fillId="0" borderId="0" xfId="0" applyFont="1" applyAlignment="1">
      <alignment horizontal="left" vertical="center" wrapText="1" indent="1"/>
    </xf>
    <xf numFmtId="166" fontId="4" fillId="0" borderId="0" xfId="0" applyNumberFormat="1" applyFont="1" applyAlignment="1">
      <alignment horizontal="right" vertical="center" wrapText="1" indent="1"/>
    </xf>
    <xf numFmtId="167" fontId="4" fillId="0" borderId="0" xfId="0" applyNumberFormat="1" applyFont="1" applyAlignment="1">
      <alignment horizontal="right" vertical="center" wrapText="1" indent="1"/>
    </xf>
    <xf numFmtId="1" fontId="0" fillId="0" borderId="0" xfId="0" applyNumberFormat="1"/>
    <xf numFmtId="165" fontId="3" fillId="0" borderId="0" xfId="0" applyNumberFormat="1" applyFont="1" applyAlignment="1">
      <alignment horizontal="left" vertical="center" wrapText="1" indent="1"/>
    </xf>
    <xf numFmtId="0" fontId="3" fillId="0" borderId="0" xfId="0" applyFont="1" applyAlignment="1">
      <alignment horizontal="left" vertical="center" wrapText="1" indent="1"/>
    </xf>
    <xf numFmtId="166" fontId="3" fillId="0" borderId="0" xfId="0" applyNumberFormat="1" applyFont="1" applyAlignment="1">
      <alignment horizontal="right" vertical="center" wrapText="1" indent="1"/>
    </xf>
    <xf numFmtId="167" fontId="3" fillId="0" borderId="0" xfId="0" applyNumberFormat="1" applyFont="1" applyAlignment="1">
      <alignment horizontal="right" vertical="center" wrapText="1" indent="1"/>
    </xf>
    <xf numFmtId="0" fontId="0" fillId="0" borderId="0" xfId="0" applyAlignment="1">
      <alignment wrapText="1"/>
    </xf>
    <xf numFmtId="0" fontId="0" fillId="0" borderId="0" xfId="0" quotePrefix="1"/>
    <xf numFmtId="165" fontId="2" fillId="0" borderId="0" xfId="0" applyNumberFormat="1" applyFont="1" applyAlignment="1">
      <alignment horizontal="left" vertical="center" wrapText="1" indent="1"/>
    </xf>
    <xf numFmtId="0" fontId="2" fillId="0" borderId="0" xfId="0" applyFont="1" applyAlignment="1">
      <alignment horizontal="left" vertical="center" wrapText="1" indent="1"/>
    </xf>
    <xf numFmtId="166" fontId="2" fillId="0" borderId="0" xfId="0" applyNumberFormat="1" applyFont="1" applyAlignment="1">
      <alignment horizontal="right" vertical="center" wrapText="1" indent="1"/>
    </xf>
    <xf numFmtId="167" fontId="2" fillId="0" borderId="0" xfId="0" applyNumberFormat="1" applyFont="1" applyAlignment="1">
      <alignment horizontal="right" vertical="center" wrapText="1" indent="1"/>
    </xf>
    <xf numFmtId="14" fontId="25" fillId="0" borderId="3" xfId="0" applyNumberFormat="1" applyFont="1" applyBorder="1"/>
    <xf numFmtId="0" fontId="23" fillId="0" borderId="0" xfId="0" quotePrefix="1" applyFont="1" applyAlignment="1">
      <alignment horizontal="left" vertical="center"/>
    </xf>
    <xf numFmtId="0" fontId="21" fillId="0" borderId="0" xfId="0" applyFont="1" applyAlignment="1">
      <alignment vertical="center"/>
    </xf>
    <xf numFmtId="0" fontId="24" fillId="0" borderId="0" xfId="0" applyFont="1" applyAlignment="1">
      <alignment horizontal="left" vertical="center" indent="1"/>
    </xf>
    <xf numFmtId="0" fontId="22" fillId="0" borderId="0" xfId="0" applyFont="1"/>
    <xf numFmtId="4" fontId="1" fillId="0" borderId="0" xfId="0" applyNumberFormat="1" applyFont="1" applyAlignment="1">
      <alignment horizontal="right" indent="1"/>
    </xf>
    <xf numFmtId="164" fontId="1" fillId="0" borderId="0" xfId="0" applyNumberFormat="1" applyFont="1" applyAlignment="1">
      <alignment horizontal="right" indent="1"/>
    </xf>
    <xf numFmtId="0" fontId="1" fillId="0" borderId="0" xfId="0" applyFont="1"/>
    <xf numFmtId="165" fontId="22" fillId="0" borderId="6" xfId="0" applyNumberFormat="1" applyFont="1" applyBorder="1" applyAlignment="1">
      <alignment horizontal="left" vertical="center" wrapText="1" indent="1"/>
    </xf>
    <xf numFmtId="0" fontId="22" fillId="0" borderId="6" xfId="0" applyFont="1" applyBorder="1" applyAlignment="1">
      <alignment horizontal="left" vertical="center" wrapText="1" indent="1"/>
    </xf>
    <xf numFmtId="166" fontId="22" fillId="0" borderId="6" xfId="0" applyNumberFormat="1" applyFont="1" applyBorder="1" applyAlignment="1">
      <alignment horizontal="right" vertical="center" wrapText="1" indent="1"/>
    </xf>
    <xf numFmtId="167" fontId="22" fillId="0" borderId="6" xfId="0" applyNumberFormat="1" applyFont="1" applyBorder="1" applyAlignment="1">
      <alignment horizontal="right" vertical="center" wrapText="1" indent="1"/>
    </xf>
  </cellXfs>
  <cellStyles count="1">
    <cellStyle name="Normal" xfId="0" builtinId="0"/>
  </cellStyles>
  <dxfs count="0"/>
  <tableStyles count="0" defaultTableStyle="TableStyleMedium2" defaultPivotStyle="PivotStyleLight16"/>
  <colors>
    <mruColors>
      <color rgb="FFFFFF99"/>
      <color rgb="FFFFFFCC"/>
      <color rgb="FF574311"/>
      <color rgb="FF8C6C1C"/>
      <color rgb="FF0D1A5B"/>
      <color rgb="FF150D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N"/>
  <dimension ref="A1:BP63"/>
  <sheetViews>
    <sheetView showZeros="0" tabSelected="1" workbookViewId="0">
      <pane ySplit="2" topLeftCell="A3" activePane="bottomLeft" state="frozen"/>
      <selection pane="bottomLeft" activeCell="A3" sqref="A3"/>
    </sheetView>
  </sheetViews>
  <sheetFormatPr defaultRowHeight="15" x14ac:dyDescent="0.25"/>
  <cols>
    <col min="1" max="1" width="17.28515625" customWidth="1"/>
    <col min="2" max="2" width="15.85546875" bestFit="1" customWidth="1"/>
    <col min="3" max="3" width="18.140625" customWidth="1"/>
    <col min="4" max="4" width="17.85546875" customWidth="1"/>
    <col min="5" max="5" width="11.140625" customWidth="1"/>
    <col min="6" max="6" width="29.28515625" hidden="1" customWidth="1"/>
    <col min="7" max="7" width="39.42578125" hidden="1" customWidth="1"/>
    <col min="8" max="8" width="29.28515625" customWidth="1"/>
    <col min="9" max="9" width="31.42578125" hidden="1" customWidth="1"/>
    <col min="10" max="10" width="28" hidden="1" customWidth="1"/>
    <col min="11" max="11" width="29.85546875" hidden="1" customWidth="1"/>
    <col min="12" max="12" width="27.140625" hidden="1" customWidth="1"/>
    <col min="13" max="13" width="23.7109375" hidden="1" customWidth="1"/>
    <col min="14" max="14" width="14.140625" hidden="1" customWidth="1"/>
    <col min="15" max="15" width="23.42578125" hidden="1" customWidth="1"/>
    <col min="16" max="16" width="12" hidden="1" customWidth="1"/>
    <col min="17" max="17" width="13.85546875" hidden="1" customWidth="1"/>
    <col min="18" max="18" width="31.85546875" hidden="1" customWidth="1"/>
    <col min="19" max="19" width="13.28515625" hidden="1" customWidth="1"/>
    <col min="20" max="20" width="18.7109375" hidden="1" customWidth="1"/>
    <col min="21" max="21" width="21.28515625" hidden="1" customWidth="1"/>
    <col min="22" max="22" width="25.5703125" hidden="1" customWidth="1"/>
    <col min="23" max="23" width="27.140625" hidden="1" customWidth="1"/>
    <col min="24" max="24" width="12.42578125" hidden="1" customWidth="1"/>
    <col min="25" max="25" width="22.5703125" hidden="1" customWidth="1"/>
    <col min="26" max="26" width="22.28515625" hidden="1" customWidth="1"/>
    <col min="27" max="27" width="24.28515625" hidden="1" customWidth="1"/>
    <col min="28" max="28" width="16.85546875" hidden="1" customWidth="1"/>
    <col min="29" max="29" width="32.85546875" hidden="1" customWidth="1"/>
    <col min="30" max="30" width="17.85546875" hidden="1" customWidth="1"/>
    <col min="31" max="31" width="24.140625" hidden="1" customWidth="1"/>
    <col min="32" max="32" width="22.5703125" hidden="1" customWidth="1"/>
    <col min="33" max="33" width="24.140625" hidden="1" customWidth="1"/>
    <col min="34" max="34" width="24.42578125" hidden="1" customWidth="1"/>
    <col min="35" max="35" width="22.28515625" hidden="1" customWidth="1"/>
    <col min="36" max="36" width="22.7109375" hidden="1" customWidth="1"/>
    <col min="37" max="37" width="18.5703125" customWidth="1"/>
    <col min="38" max="38" width="15.140625" customWidth="1"/>
    <col min="39" max="39" width="21.42578125" customWidth="1"/>
    <col min="40" max="40" width="14.5703125" customWidth="1"/>
    <col min="41" max="41" width="32.42578125" customWidth="1"/>
    <col min="42" max="42" width="10.42578125" customWidth="1"/>
    <col min="43" max="43" width="11.7109375" hidden="1" customWidth="1"/>
    <col min="44" max="44" width="22" bestFit="1" customWidth="1"/>
    <col min="45" max="45" width="34.28515625" hidden="1" customWidth="1"/>
    <col min="46" max="46" width="19.140625" hidden="1" customWidth="1"/>
    <col min="47" max="47" width="16" hidden="1" customWidth="1"/>
    <col min="48" max="48" width="11.140625" hidden="1" customWidth="1"/>
    <col min="49" max="49" width="13.140625" hidden="1" customWidth="1"/>
    <col min="50" max="50" width="10.28515625" customWidth="1"/>
    <col min="51" max="51" width="12" bestFit="1" customWidth="1"/>
    <col min="52" max="52" width="22.5703125" customWidth="1"/>
    <col min="53" max="53" width="12.140625" customWidth="1"/>
    <col min="54" max="54" width="22.5703125" customWidth="1"/>
    <col min="55" max="55" width="12.140625" customWidth="1"/>
    <col min="56" max="56" width="22.5703125" customWidth="1"/>
    <col min="57" max="57" width="12.140625" customWidth="1"/>
    <col min="58" max="58" width="22.5703125" customWidth="1"/>
    <col min="59" max="59" width="12.140625" customWidth="1"/>
    <col min="60" max="60" width="22.5703125" customWidth="1"/>
    <col min="61" max="61" width="12.140625" customWidth="1"/>
    <col min="62" max="62" width="22.5703125" customWidth="1"/>
    <col min="63" max="63" width="12.140625" customWidth="1"/>
    <col min="64" max="64" width="22.5703125" customWidth="1"/>
    <col min="65" max="65" width="12.140625" customWidth="1"/>
    <col min="66" max="66" width="22.5703125" customWidth="1"/>
    <col min="67" max="67" width="12.140625" customWidth="1"/>
    <col min="68" max="68" width="38" customWidth="1"/>
  </cols>
  <sheetData>
    <row r="1" spans="1:68" ht="21" customHeight="1" x14ac:dyDescent="0.25">
      <c r="A1" s="66" t="s">
        <v>1104</v>
      </c>
      <c r="B1" s="19"/>
      <c r="C1" s="19"/>
      <c r="D1" s="19"/>
      <c r="E1" s="19"/>
      <c r="F1" s="20" t="s">
        <v>946</v>
      </c>
      <c r="G1" s="20"/>
      <c r="H1" s="47" t="s">
        <v>954</v>
      </c>
      <c r="I1" s="22" t="s">
        <v>955</v>
      </c>
      <c r="J1" s="22"/>
      <c r="K1" s="22"/>
      <c r="L1" s="22"/>
      <c r="M1" s="22"/>
      <c r="N1" s="22"/>
      <c r="O1" s="22"/>
      <c r="P1" s="22"/>
      <c r="Q1" s="22"/>
      <c r="R1" s="23" t="s">
        <v>956</v>
      </c>
      <c r="S1" s="23"/>
      <c r="T1" s="23"/>
      <c r="U1" s="23"/>
      <c r="V1" s="23"/>
      <c r="W1" s="23"/>
      <c r="X1" s="23"/>
      <c r="Y1" s="22" t="s">
        <v>912</v>
      </c>
      <c r="Z1" s="24"/>
      <c r="AA1" s="24"/>
      <c r="AB1" s="24"/>
      <c r="AC1" s="24"/>
      <c r="AD1" s="24"/>
      <c r="AE1" s="24"/>
      <c r="AF1" s="23" t="s">
        <v>913</v>
      </c>
      <c r="AG1" s="25"/>
      <c r="AH1" s="25"/>
      <c r="AI1" s="25"/>
      <c r="AJ1" s="25"/>
      <c r="AK1" s="20" t="s">
        <v>14</v>
      </c>
      <c r="AL1" s="26"/>
      <c r="AM1" s="26"/>
      <c r="AN1" s="26"/>
      <c r="AO1" s="21"/>
      <c r="AP1" s="21"/>
      <c r="AQ1" s="21"/>
      <c r="AR1" s="23" t="s">
        <v>15</v>
      </c>
      <c r="AS1" s="25"/>
      <c r="AT1" s="22" t="s">
        <v>17</v>
      </c>
      <c r="AU1" s="24"/>
      <c r="AV1" s="24"/>
      <c r="AW1" s="24"/>
      <c r="AX1" s="24"/>
      <c r="AY1" s="24"/>
      <c r="AZ1" s="21" t="s">
        <v>1078</v>
      </c>
      <c r="BA1" s="21"/>
      <c r="BB1" s="21"/>
      <c r="BC1" s="21"/>
      <c r="BD1" s="21"/>
      <c r="BE1" s="21"/>
      <c r="BF1" s="21"/>
      <c r="BG1" s="21"/>
      <c r="BH1" s="21"/>
      <c r="BI1" s="21"/>
      <c r="BJ1" s="21"/>
      <c r="BK1" s="21"/>
      <c r="BL1" s="21"/>
      <c r="BM1" s="21"/>
      <c r="BN1" s="21"/>
      <c r="BO1" s="21"/>
      <c r="BP1" s="19"/>
    </row>
    <row r="2" spans="1:68" ht="20.25" customHeight="1" thickBot="1" x14ac:dyDescent="0.3">
      <c r="A2" s="16" t="s">
        <v>1079</v>
      </c>
      <c r="B2" s="16" t="s">
        <v>1080</v>
      </c>
      <c r="C2" s="17" t="s">
        <v>1081</v>
      </c>
      <c r="D2" s="17" t="s">
        <v>898</v>
      </c>
      <c r="E2" s="17" t="s">
        <v>117</v>
      </c>
      <c r="F2" s="15" t="s">
        <v>914</v>
      </c>
      <c r="G2" s="15" t="s">
        <v>991</v>
      </c>
      <c r="H2" s="18" t="s">
        <v>1082</v>
      </c>
      <c r="I2" s="11" t="s">
        <v>957</v>
      </c>
      <c r="J2" s="11" t="s">
        <v>958</v>
      </c>
      <c r="K2" s="11" t="s">
        <v>959</v>
      </c>
      <c r="L2" s="11" t="s">
        <v>960</v>
      </c>
      <c r="M2" s="11" t="str">
        <f>UPPER("Dispatched Through")</f>
        <v>DISPATCHED THROUGH</v>
      </c>
      <c r="N2" s="11" t="s">
        <v>961</v>
      </c>
      <c r="O2" s="11" t="s">
        <v>962</v>
      </c>
      <c r="P2" s="11" t="s">
        <v>963</v>
      </c>
      <c r="Q2" s="11" t="s">
        <v>964</v>
      </c>
      <c r="R2" s="13" t="s">
        <v>965</v>
      </c>
      <c r="S2" s="13" t="s">
        <v>971</v>
      </c>
      <c r="T2" s="13" t="s">
        <v>966</v>
      </c>
      <c r="U2" s="13" t="s">
        <v>967</v>
      </c>
      <c r="V2" s="13" t="s">
        <v>968</v>
      </c>
      <c r="W2" s="13" t="s">
        <v>969</v>
      </c>
      <c r="X2" s="13" t="s">
        <v>970</v>
      </c>
      <c r="Y2" s="11" t="s">
        <v>980</v>
      </c>
      <c r="Z2" s="11" t="s">
        <v>981</v>
      </c>
      <c r="AA2" s="11" t="s">
        <v>982</v>
      </c>
      <c r="AB2" s="11" t="s">
        <v>983</v>
      </c>
      <c r="AC2" s="11" t="s">
        <v>984</v>
      </c>
      <c r="AD2" s="11" t="s">
        <v>985</v>
      </c>
      <c r="AE2" s="11" t="s">
        <v>22</v>
      </c>
      <c r="AF2" s="13" t="s">
        <v>986</v>
      </c>
      <c r="AG2" s="13" t="s">
        <v>987</v>
      </c>
      <c r="AH2" s="13" t="s">
        <v>988</v>
      </c>
      <c r="AI2" s="13" t="s">
        <v>989</v>
      </c>
      <c r="AJ2" s="13" t="s">
        <v>990</v>
      </c>
      <c r="AK2" s="15" t="s">
        <v>16</v>
      </c>
      <c r="AL2" s="15" t="s">
        <v>992</v>
      </c>
      <c r="AM2" s="15" t="s">
        <v>993</v>
      </c>
      <c r="AN2" s="15" t="s">
        <v>909</v>
      </c>
      <c r="AO2" s="18" t="s">
        <v>1083</v>
      </c>
      <c r="AP2" s="18" t="s">
        <v>952</v>
      </c>
      <c r="AQ2" s="18" t="s">
        <v>953</v>
      </c>
      <c r="AR2" s="14" t="s">
        <v>13</v>
      </c>
      <c r="AS2" s="14" t="s">
        <v>995</v>
      </c>
      <c r="AT2" s="12" t="s">
        <v>18</v>
      </c>
      <c r="AU2" s="12" t="s">
        <v>19</v>
      </c>
      <c r="AV2" s="12" t="s">
        <v>20</v>
      </c>
      <c r="AW2" s="12" t="s">
        <v>21</v>
      </c>
      <c r="AX2" s="12" t="s">
        <v>996</v>
      </c>
      <c r="AY2" s="12" t="s">
        <v>1184</v>
      </c>
      <c r="AZ2" s="18" t="s">
        <v>1</v>
      </c>
      <c r="BA2" s="18" t="s">
        <v>906</v>
      </c>
      <c r="BB2" s="18" t="s">
        <v>2</v>
      </c>
      <c r="BC2" s="18" t="s">
        <v>905</v>
      </c>
      <c r="BD2" s="18" t="s">
        <v>3</v>
      </c>
      <c r="BE2" s="18" t="s">
        <v>907</v>
      </c>
      <c r="BF2" s="18" t="s">
        <v>4</v>
      </c>
      <c r="BG2" s="18" t="s">
        <v>908</v>
      </c>
      <c r="BH2" s="18" t="s">
        <v>972</v>
      </c>
      <c r="BI2" s="18" t="s">
        <v>973</v>
      </c>
      <c r="BJ2" s="18" t="s">
        <v>974</v>
      </c>
      <c r="BK2" s="18" t="s">
        <v>975</v>
      </c>
      <c r="BL2" s="18" t="s">
        <v>976</v>
      </c>
      <c r="BM2" s="18" t="s">
        <v>977</v>
      </c>
      <c r="BN2" s="18" t="s">
        <v>978</v>
      </c>
      <c r="BO2" s="18" t="s">
        <v>979</v>
      </c>
      <c r="BP2" s="17" t="s">
        <v>0</v>
      </c>
    </row>
    <row r="3" spans="1:68" ht="30.75" thickTop="1" x14ac:dyDescent="0.25">
      <c r="A3" s="34" t="s">
        <v>23</v>
      </c>
      <c r="B3" s="34" t="s">
        <v>1037</v>
      </c>
      <c r="C3" s="35">
        <v>45383</v>
      </c>
      <c r="D3" s="34" t="s">
        <v>1042</v>
      </c>
      <c r="E3" s="35">
        <v>45386</v>
      </c>
      <c r="F3" s="34"/>
      <c r="G3" s="34"/>
      <c r="H3" s="34" t="s">
        <v>1125</v>
      </c>
      <c r="I3" s="36"/>
      <c r="J3" s="37"/>
      <c r="K3" s="34"/>
      <c r="L3" s="35"/>
      <c r="M3" s="34"/>
      <c r="N3" s="35"/>
      <c r="O3" s="34"/>
      <c r="P3" s="35"/>
      <c r="Q3" s="35"/>
      <c r="R3" s="35"/>
      <c r="S3" s="35"/>
      <c r="T3" s="35"/>
      <c r="U3" s="35"/>
      <c r="V3" s="35"/>
      <c r="W3" s="35"/>
      <c r="X3" s="35"/>
      <c r="Y3" s="34"/>
      <c r="Z3" s="35"/>
      <c r="AA3" s="35"/>
      <c r="AB3" s="35"/>
      <c r="AC3" s="34"/>
      <c r="AD3" s="34"/>
      <c r="AE3" s="34"/>
      <c r="AF3" s="34"/>
      <c r="AG3" s="34"/>
      <c r="AH3" s="34"/>
      <c r="AI3" s="34"/>
      <c r="AJ3" s="34"/>
      <c r="AK3" s="34" t="s">
        <v>64</v>
      </c>
      <c r="AL3" s="34" t="s">
        <v>1042</v>
      </c>
      <c r="AM3" s="34">
        <v>1</v>
      </c>
      <c r="AN3" s="34">
        <v>560</v>
      </c>
      <c r="AO3" s="34" t="s">
        <v>1076</v>
      </c>
      <c r="AP3" s="34">
        <v>12</v>
      </c>
      <c r="AQ3" s="34"/>
      <c r="AR3" s="34" t="s">
        <v>1186</v>
      </c>
      <c r="AS3" s="36"/>
      <c r="AT3" s="34"/>
      <c r="AU3" s="34"/>
      <c r="AV3" s="35"/>
      <c r="AW3" s="34"/>
      <c r="AX3" s="34">
        <v>2</v>
      </c>
      <c r="AY3" s="34">
        <v>200</v>
      </c>
      <c r="AZ3" s="34" t="s">
        <v>42</v>
      </c>
      <c r="BA3" s="34">
        <v>100</v>
      </c>
      <c r="BB3" s="34" t="s">
        <v>1025</v>
      </c>
      <c r="BC3" s="34">
        <v>12</v>
      </c>
      <c r="BD3" s="34" t="s">
        <v>1032</v>
      </c>
      <c r="BE3" s="34">
        <v>12</v>
      </c>
      <c r="BF3" s="34"/>
      <c r="BG3" s="34"/>
      <c r="BH3" s="34"/>
      <c r="BI3" s="34"/>
      <c r="BJ3" s="34"/>
      <c r="BK3" s="34"/>
      <c r="BL3" s="34"/>
      <c r="BM3" s="34"/>
      <c r="BN3" s="34"/>
      <c r="BO3" s="34"/>
      <c r="BP3" s="36" t="s">
        <v>1039</v>
      </c>
    </row>
    <row r="4" spans="1:68" ht="15.75" thickBot="1" x14ac:dyDescent="0.3">
      <c r="A4" s="38" t="s">
        <v>23</v>
      </c>
      <c r="B4" s="38" t="s">
        <v>1037</v>
      </c>
      <c r="C4" s="82" t="s">
        <v>1185</v>
      </c>
      <c r="D4" s="38"/>
      <c r="E4" s="39"/>
      <c r="F4" s="39"/>
      <c r="G4" s="39"/>
      <c r="H4" s="38"/>
      <c r="I4" s="40"/>
      <c r="J4" s="41"/>
      <c r="K4" s="38"/>
      <c r="L4" s="39"/>
      <c r="M4" s="38"/>
      <c r="N4" s="39"/>
      <c r="O4" s="38"/>
      <c r="P4" s="39"/>
      <c r="Q4" s="39"/>
      <c r="R4" s="39"/>
      <c r="S4" s="39"/>
      <c r="T4" s="39"/>
      <c r="U4" s="39"/>
      <c r="V4" s="39"/>
      <c r="W4" s="39"/>
      <c r="X4" s="39"/>
      <c r="Y4" s="38"/>
      <c r="Z4" s="38"/>
      <c r="AA4" s="38"/>
      <c r="AB4" s="38"/>
      <c r="AC4" s="38"/>
      <c r="AD4" s="38"/>
      <c r="AE4" s="38"/>
      <c r="AF4" s="38"/>
      <c r="AG4" s="38"/>
      <c r="AH4" s="38"/>
      <c r="AI4" s="38"/>
      <c r="AJ4" s="38"/>
      <c r="AK4" s="38"/>
      <c r="AL4" s="38"/>
      <c r="AM4" s="38"/>
      <c r="AN4" s="38"/>
      <c r="AO4" s="38" t="s">
        <v>1033</v>
      </c>
      <c r="AP4" s="38">
        <v>18</v>
      </c>
      <c r="AQ4" s="38"/>
      <c r="AR4" s="38" t="s">
        <v>1030</v>
      </c>
      <c r="AS4" s="38"/>
      <c r="AT4" s="38"/>
      <c r="AU4" s="38"/>
      <c r="AV4" s="39"/>
      <c r="AW4" s="38"/>
      <c r="AX4" s="38">
        <v>2</v>
      </c>
      <c r="AY4" s="38">
        <v>200</v>
      </c>
      <c r="AZ4" s="38"/>
      <c r="BA4" s="38"/>
      <c r="BB4" s="38"/>
      <c r="BC4" s="38">
        <v>18</v>
      </c>
      <c r="BD4" s="38"/>
      <c r="BE4" s="38">
        <v>18</v>
      </c>
      <c r="BF4" s="38"/>
      <c r="BG4" s="38"/>
      <c r="BH4" s="38"/>
      <c r="BI4" s="38"/>
      <c r="BJ4" s="38"/>
      <c r="BK4" s="38"/>
      <c r="BL4" s="38"/>
      <c r="BM4" s="38"/>
      <c r="BN4" s="38"/>
      <c r="BO4" s="38"/>
      <c r="BP4" s="38"/>
    </row>
    <row r="5" spans="1:68" x14ac:dyDescent="0.25">
      <c r="A5" s="42" t="s">
        <v>30</v>
      </c>
      <c r="B5" s="42" t="s">
        <v>1038</v>
      </c>
      <c r="C5" s="43">
        <v>45383</v>
      </c>
      <c r="D5" s="42" t="s">
        <v>1043</v>
      </c>
      <c r="E5" s="43">
        <v>45386</v>
      </c>
      <c r="F5" s="42"/>
      <c r="G5" s="42"/>
      <c r="H5" s="42" t="s">
        <v>1028</v>
      </c>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c r="AJ5" s="42"/>
      <c r="AK5" s="42" t="s">
        <v>64</v>
      </c>
      <c r="AL5" s="42" t="s">
        <v>1043</v>
      </c>
      <c r="AM5" s="43">
        <v>45384</v>
      </c>
      <c r="AN5" s="42">
        <v>-675</v>
      </c>
      <c r="AO5" s="42" t="s">
        <v>1035</v>
      </c>
      <c r="AP5" s="42">
        <v>12</v>
      </c>
      <c r="AQ5" s="42"/>
      <c r="AR5" s="42" t="s">
        <v>1029</v>
      </c>
      <c r="AS5" s="42"/>
      <c r="AT5" s="42"/>
      <c r="AU5" s="42"/>
      <c r="AV5" s="42"/>
      <c r="AW5" s="42"/>
      <c r="AX5" s="42">
        <v>2</v>
      </c>
      <c r="AY5" s="42">
        <v>250</v>
      </c>
      <c r="AZ5" s="42" t="s">
        <v>1025</v>
      </c>
      <c r="BA5" s="42">
        <v>37.5</v>
      </c>
      <c r="BB5" s="42" t="s">
        <v>1032</v>
      </c>
      <c r="BC5" s="42">
        <v>37.5</v>
      </c>
      <c r="BD5" s="42" t="s">
        <v>43</v>
      </c>
      <c r="BE5" s="42">
        <v>100</v>
      </c>
      <c r="BF5" s="42"/>
      <c r="BG5" s="42"/>
      <c r="BH5" s="42"/>
      <c r="BI5" s="42"/>
      <c r="BJ5" s="42"/>
      <c r="BK5" s="42"/>
      <c r="BL5" s="42"/>
      <c r="BM5" s="42"/>
      <c r="BN5" s="42"/>
      <c r="BO5" s="42"/>
      <c r="BP5" s="42"/>
    </row>
    <row r="6" spans="1:68" ht="15.75" thickBot="1" x14ac:dyDescent="0.3">
      <c r="A6" s="38" t="s">
        <v>30</v>
      </c>
      <c r="B6" s="38" t="s">
        <v>1038</v>
      </c>
      <c r="C6" s="39">
        <v>45383</v>
      </c>
      <c r="D6" s="38" t="s">
        <v>1043</v>
      </c>
      <c r="E6" s="39">
        <v>45386</v>
      </c>
      <c r="F6" s="38"/>
      <c r="G6" s="38"/>
      <c r="H6" s="38" t="s">
        <v>1028</v>
      </c>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t="s">
        <v>1036</v>
      </c>
      <c r="AP6" s="38">
        <v>18</v>
      </c>
      <c r="AQ6" s="38"/>
      <c r="AR6" s="38" t="s">
        <v>1030</v>
      </c>
      <c r="AS6" s="38"/>
      <c r="AT6" s="38"/>
      <c r="AU6" s="38"/>
      <c r="AV6" s="38"/>
      <c r="AW6" s="38"/>
      <c r="AX6" s="38">
        <v>2</v>
      </c>
      <c r="AY6" s="38">
        <v>250</v>
      </c>
      <c r="AZ6" s="38"/>
      <c r="BA6" s="38"/>
      <c r="BB6" s="38"/>
      <c r="BC6" s="38"/>
      <c r="BD6" s="38"/>
      <c r="BE6" s="38"/>
      <c r="BF6" s="38"/>
      <c r="BG6" s="38"/>
      <c r="BH6" s="38"/>
      <c r="BI6" s="38"/>
      <c r="BJ6" s="38"/>
      <c r="BK6" s="38"/>
      <c r="BL6" s="38"/>
      <c r="BM6" s="38"/>
      <c r="BN6" s="38"/>
      <c r="BO6" s="38"/>
      <c r="BP6" s="38"/>
    </row>
    <row r="7" spans="1:68" ht="15.75" thickBot="1" x14ac:dyDescent="0.3">
      <c r="A7" s="44" t="s">
        <v>29</v>
      </c>
      <c r="B7" s="45" t="s">
        <v>1040</v>
      </c>
      <c r="C7" s="45">
        <v>45383</v>
      </c>
      <c r="D7" s="44"/>
      <c r="E7" s="45"/>
      <c r="F7" s="44"/>
      <c r="G7" s="44"/>
      <c r="H7" s="44" t="s">
        <v>57</v>
      </c>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t="s">
        <v>63</v>
      </c>
      <c r="AL7" s="44" t="s">
        <v>1043</v>
      </c>
      <c r="AM7" s="44"/>
      <c r="AN7" s="44">
        <v>675</v>
      </c>
      <c r="AO7" s="44" t="s">
        <v>1028</v>
      </c>
      <c r="AP7" s="44"/>
      <c r="AQ7" s="44"/>
      <c r="AR7" s="44"/>
      <c r="AS7" s="44"/>
      <c r="AT7" s="44"/>
      <c r="AU7" s="44"/>
      <c r="AV7" s="44"/>
      <c r="AW7" s="44"/>
      <c r="AX7" s="44"/>
      <c r="AY7" s="44">
        <v>675</v>
      </c>
      <c r="AZ7" s="44"/>
      <c r="BA7" s="44"/>
      <c r="BB7" s="44"/>
      <c r="BC7" s="44"/>
      <c r="BD7" s="44"/>
      <c r="BE7" s="44"/>
      <c r="BF7" s="44"/>
      <c r="BG7" s="44"/>
      <c r="BH7" s="44"/>
      <c r="BI7" s="44"/>
      <c r="BJ7" s="44"/>
      <c r="BK7" s="44"/>
      <c r="BL7" s="44"/>
      <c r="BM7" s="44"/>
      <c r="BN7" s="44"/>
      <c r="BO7" s="44"/>
      <c r="BP7" s="44"/>
    </row>
    <row r="8" spans="1:68" x14ac:dyDescent="0.25">
      <c r="A8" s="46" t="s">
        <v>28</v>
      </c>
      <c r="B8" s="42" t="s">
        <v>1041</v>
      </c>
      <c r="C8" s="43">
        <v>45383</v>
      </c>
      <c r="D8" s="42"/>
      <c r="E8" s="43"/>
      <c r="F8" s="42"/>
      <c r="G8" s="42"/>
      <c r="H8" s="42" t="s">
        <v>57</v>
      </c>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t="s">
        <v>63</v>
      </c>
      <c r="AL8" s="42" t="s">
        <v>1042</v>
      </c>
      <c r="AM8" s="42"/>
      <c r="AN8" s="42">
        <v>-560</v>
      </c>
      <c r="AO8" s="42" t="s">
        <v>1075</v>
      </c>
      <c r="AP8" s="42"/>
      <c r="AQ8" s="42"/>
      <c r="AR8" s="42"/>
      <c r="AS8" s="42"/>
      <c r="AT8" s="42"/>
      <c r="AU8" s="42"/>
      <c r="AV8" s="42"/>
      <c r="AW8" s="42"/>
      <c r="AX8" s="42"/>
      <c r="AY8" s="42">
        <v>675</v>
      </c>
      <c r="AZ8" s="42"/>
      <c r="BA8" s="42"/>
      <c r="BB8" s="42"/>
      <c r="BC8" s="42"/>
      <c r="BD8" s="42"/>
      <c r="BE8" s="42"/>
      <c r="BF8" s="42"/>
      <c r="BG8" s="42"/>
      <c r="BH8" s="42"/>
      <c r="BI8" s="42"/>
      <c r="BJ8" s="42"/>
      <c r="BK8" s="42"/>
      <c r="BL8" s="42"/>
      <c r="BM8" s="42"/>
      <c r="BN8" s="42"/>
      <c r="BO8" s="42"/>
      <c r="BP8" s="42"/>
    </row>
    <row r="9" spans="1:68" ht="15.75" thickBot="1" x14ac:dyDescent="0.3">
      <c r="A9" s="38" t="s">
        <v>28</v>
      </c>
      <c r="B9" s="38" t="s">
        <v>1041</v>
      </c>
      <c r="C9" s="39"/>
      <c r="D9" s="38"/>
      <c r="E9" s="39"/>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c r="AI9" s="38"/>
      <c r="AJ9" s="38"/>
      <c r="AK9" s="38" t="s">
        <v>62</v>
      </c>
      <c r="AL9" s="38" t="s">
        <v>1044</v>
      </c>
      <c r="AM9" s="38">
        <v>7</v>
      </c>
      <c r="AN9" s="38">
        <v>-115</v>
      </c>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row>
    <row r="10" spans="1:68" x14ac:dyDescent="0.25">
      <c r="A10" s="29"/>
      <c r="B10" s="29"/>
      <c r="C10" s="31"/>
      <c r="D10" s="29"/>
      <c r="E10" s="31"/>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row>
    <row r="11" spans="1:68" x14ac:dyDescent="0.25">
      <c r="A11" s="29"/>
      <c r="B11" s="32"/>
      <c r="C11" s="63" t="s">
        <v>1124</v>
      </c>
      <c r="D11" s="29"/>
      <c r="E11" s="31"/>
      <c r="F11" s="29"/>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row>
    <row r="12" spans="1:68" x14ac:dyDescent="0.25">
      <c r="A12" s="29"/>
      <c r="B12" s="29"/>
      <c r="C12" s="2"/>
      <c r="D12" s="29"/>
      <c r="E12" s="31"/>
      <c r="F12" s="29"/>
      <c r="G12" s="29"/>
      <c r="H12" s="29"/>
      <c r="I12" s="29"/>
      <c r="J12" s="29"/>
      <c r="K12" s="29"/>
      <c r="L12" s="33"/>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row>
    <row r="13" spans="1:68" x14ac:dyDescent="0.25">
      <c r="C13" s="65" t="s">
        <v>1103</v>
      </c>
      <c r="E13" s="2"/>
      <c r="L13" s="30"/>
    </row>
    <row r="14" spans="1:68" x14ac:dyDescent="0.25">
      <c r="C14" s="61" t="s">
        <v>1097</v>
      </c>
      <c r="E14" s="2"/>
    </row>
    <row r="15" spans="1:68" x14ac:dyDescent="0.25">
      <c r="C15" s="52" t="s">
        <v>1049</v>
      </c>
      <c r="E15" s="2"/>
      <c r="L15" s="30"/>
    </row>
    <row r="16" spans="1:68" ht="15.75" x14ac:dyDescent="0.25">
      <c r="C16" s="52" t="s">
        <v>1063</v>
      </c>
      <c r="E16" s="2"/>
      <c r="L16" s="30"/>
    </row>
    <row r="17" spans="3:12" x14ac:dyDescent="0.25">
      <c r="C17" s="48" t="s">
        <v>1045</v>
      </c>
      <c r="E17" s="2"/>
    </row>
    <row r="18" spans="3:12" x14ac:dyDescent="0.25">
      <c r="C18" s="62" t="s">
        <v>1098</v>
      </c>
      <c r="E18" s="2"/>
    </row>
    <row r="19" spans="3:12" x14ac:dyDescent="0.25">
      <c r="C19" s="2"/>
      <c r="E19" s="2"/>
      <c r="L19" s="30"/>
    </row>
    <row r="20" spans="3:12" x14ac:dyDescent="0.25">
      <c r="C20" s="2" t="s">
        <v>1071</v>
      </c>
      <c r="E20" s="2"/>
    </row>
    <row r="21" spans="3:12" x14ac:dyDescent="0.25">
      <c r="C21" s="2" t="s">
        <v>1074</v>
      </c>
      <c r="E21" s="2"/>
    </row>
    <row r="22" spans="3:12" x14ac:dyDescent="0.25">
      <c r="C22" s="2" t="s">
        <v>1087</v>
      </c>
      <c r="E22" s="2"/>
    </row>
    <row r="23" spans="3:12" x14ac:dyDescent="0.25">
      <c r="C23" s="2" t="s">
        <v>1086</v>
      </c>
      <c r="E23" s="2"/>
      <c r="L23" s="30"/>
    </row>
    <row r="24" spans="3:12" x14ac:dyDescent="0.25">
      <c r="C24" s="2" t="s">
        <v>1064</v>
      </c>
      <c r="E24" s="2"/>
      <c r="L24" s="30"/>
    </row>
    <row r="25" spans="3:12" x14ac:dyDescent="0.25">
      <c r="C25" s="2" t="s">
        <v>1046</v>
      </c>
      <c r="E25" s="2"/>
      <c r="L25" s="30"/>
    </row>
    <row r="26" spans="3:12" x14ac:dyDescent="0.25">
      <c r="C26" s="2" t="s">
        <v>1072</v>
      </c>
      <c r="E26" s="2"/>
      <c r="L26" s="30"/>
    </row>
    <row r="27" spans="3:12" x14ac:dyDescent="0.25">
      <c r="C27" s="2" t="s">
        <v>1073</v>
      </c>
      <c r="E27" s="2"/>
      <c r="L27" s="30"/>
    </row>
    <row r="28" spans="3:12" x14ac:dyDescent="0.25">
      <c r="C28" s="2" t="s">
        <v>1047</v>
      </c>
      <c r="E28" s="2"/>
      <c r="L28" s="30"/>
    </row>
    <row r="29" spans="3:12" x14ac:dyDescent="0.25">
      <c r="C29" s="2" t="s">
        <v>1048</v>
      </c>
      <c r="E29" s="2"/>
    </row>
    <row r="30" spans="3:12" x14ac:dyDescent="0.25">
      <c r="C30" s="2" t="s">
        <v>1084</v>
      </c>
      <c r="E30" s="2"/>
    </row>
    <row r="31" spans="3:12" x14ac:dyDescent="0.25">
      <c r="C31" s="2"/>
      <c r="E31" s="2"/>
      <c r="L31" s="30"/>
    </row>
    <row r="32" spans="3:12" x14ac:dyDescent="0.25">
      <c r="C32" s="49" t="s">
        <v>1068</v>
      </c>
      <c r="E32" s="2"/>
      <c r="L32" s="30"/>
    </row>
    <row r="33" spans="3:5" x14ac:dyDescent="0.25">
      <c r="C33" s="2" t="s">
        <v>1051</v>
      </c>
      <c r="E33" s="2"/>
    </row>
    <row r="34" spans="3:5" x14ac:dyDescent="0.25">
      <c r="C34" s="2" t="s">
        <v>1050</v>
      </c>
      <c r="E34" s="2"/>
    </row>
    <row r="35" spans="3:5" x14ac:dyDescent="0.25">
      <c r="C35" s="63" t="s">
        <v>1099</v>
      </c>
      <c r="E35" s="2"/>
    </row>
    <row r="36" spans="3:5" x14ac:dyDescent="0.25">
      <c r="C36" s="63" t="s">
        <v>1100</v>
      </c>
    </row>
    <row r="37" spans="3:5" x14ac:dyDescent="0.25">
      <c r="C37" s="63" t="s">
        <v>1101</v>
      </c>
      <c r="E37" s="2"/>
    </row>
    <row r="38" spans="3:5" x14ac:dyDescent="0.25">
      <c r="C38" s="2" t="s">
        <v>1191</v>
      </c>
      <c r="E38" s="2"/>
    </row>
    <row r="39" spans="3:5" x14ac:dyDescent="0.25">
      <c r="C39" s="2"/>
      <c r="E39" s="2"/>
    </row>
    <row r="40" spans="3:5" x14ac:dyDescent="0.25">
      <c r="C40" s="49" t="s">
        <v>1052</v>
      </c>
      <c r="E40" s="2"/>
    </row>
    <row r="41" spans="3:5" x14ac:dyDescent="0.25">
      <c r="C41" s="2" t="s">
        <v>1053</v>
      </c>
      <c r="E41" s="2"/>
    </row>
    <row r="42" spans="3:5" x14ac:dyDescent="0.25">
      <c r="C42" s="2" t="s">
        <v>1070</v>
      </c>
      <c r="D42" s="50"/>
    </row>
    <row r="43" spans="3:5" x14ac:dyDescent="0.25">
      <c r="C43" s="49" t="s">
        <v>1059</v>
      </c>
      <c r="D43" s="50" t="s">
        <v>1058</v>
      </c>
      <c r="E43" s="2"/>
    </row>
    <row r="44" spans="3:5" x14ac:dyDescent="0.25">
      <c r="C44" s="49" t="s">
        <v>1060</v>
      </c>
      <c r="D44" s="51" t="s">
        <v>1061</v>
      </c>
      <c r="E44" s="2"/>
    </row>
    <row r="45" spans="3:5" x14ac:dyDescent="0.25">
      <c r="C45" s="49" t="s">
        <v>1062</v>
      </c>
      <c r="D45" s="4">
        <v>9000</v>
      </c>
      <c r="E45" s="2" t="s">
        <v>1066</v>
      </c>
    </row>
    <row r="46" spans="3:5" x14ac:dyDescent="0.25">
      <c r="C46" s="2"/>
      <c r="E46" s="2"/>
    </row>
    <row r="47" spans="3:5" x14ac:dyDescent="0.25">
      <c r="C47" s="2" t="s">
        <v>1085</v>
      </c>
      <c r="E47" s="2"/>
    </row>
    <row r="48" spans="3:5" x14ac:dyDescent="0.25">
      <c r="C48" s="2"/>
      <c r="E48" s="2"/>
    </row>
    <row r="49" spans="3:5" x14ac:dyDescent="0.25">
      <c r="C49" s="49" t="s">
        <v>1055</v>
      </c>
      <c r="E49" s="2"/>
    </row>
    <row r="50" spans="3:5" x14ac:dyDescent="0.25">
      <c r="C50" s="2" t="s">
        <v>1057</v>
      </c>
      <c r="E50" s="2"/>
    </row>
    <row r="51" spans="3:5" x14ac:dyDescent="0.25">
      <c r="C51" s="2" t="s">
        <v>1054</v>
      </c>
      <c r="E51" s="2"/>
    </row>
    <row r="52" spans="3:5" x14ac:dyDescent="0.25">
      <c r="C52" s="2"/>
      <c r="E52" s="2"/>
    </row>
    <row r="53" spans="3:5" x14ac:dyDescent="0.25">
      <c r="C53" s="49" t="s">
        <v>1056</v>
      </c>
      <c r="E53" s="2"/>
    </row>
    <row r="54" spans="3:5" x14ac:dyDescent="0.25">
      <c r="C54" s="2" t="s">
        <v>1065</v>
      </c>
      <c r="E54" s="2"/>
    </row>
    <row r="55" spans="3:5" x14ac:dyDescent="0.25">
      <c r="C55" s="2"/>
      <c r="E55" s="2"/>
    </row>
    <row r="56" spans="3:5" x14ac:dyDescent="0.25">
      <c r="C56" s="64" t="s">
        <v>1102</v>
      </c>
      <c r="E56" s="2"/>
    </row>
    <row r="57" spans="3:5" x14ac:dyDescent="0.25">
      <c r="C57" s="2" t="s">
        <v>1067</v>
      </c>
      <c r="E57" s="2"/>
    </row>
    <row r="58" spans="3:5" x14ac:dyDescent="0.25">
      <c r="C58" s="2" t="s">
        <v>1069</v>
      </c>
      <c r="E58" s="2"/>
    </row>
    <row r="59" spans="3:5" x14ac:dyDescent="0.25">
      <c r="C59" s="2"/>
      <c r="E59" s="2"/>
    </row>
    <row r="60" spans="3:5" x14ac:dyDescent="0.25">
      <c r="C60" s="2"/>
      <c r="E60" s="2"/>
    </row>
    <row r="61" spans="3:5" x14ac:dyDescent="0.25">
      <c r="C61" s="2"/>
      <c r="E61" s="2"/>
    </row>
    <row r="62" spans="3:5" x14ac:dyDescent="0.25">
      <c r="C62" s="2"/>
      <c r="E62" s="2"/>
    </row>
    <row r="63" spans="3:5" x14ac:dyDescent="0.25">
      <c r="C63" s="2"/>
      <c r="E63" s="2"/>
    </row>
  </sheetData>
  <dataConsolidate/>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errorStyle="information" allowBlank="1" xr:uid="{8121009C-23C8-45FF-A1A6-6DB8765594E9}">
          <x14:formula1>
            <xm:f>'DATABASE#'!$D$3:$D$10</xm:f>
          </x14:formula1>
          <xm:sqref>A3:A60</xm:sqref>
        </x14:dataValidation>
        <x14:dataValidation type="list" errorStyle="information" allowBlank="1" xr:uid="{0D738188-96EE-4C9B-84FE-EBA7B3BF18F3}">
          <x14:formula1>
            <xm:f>'DATABASE#'!$G$3:$G$287</xm:f>
          </x14:formula1>
          <xm:sqref>H3:H60 BD3:BD60 BB3:BB60 AZ3:AZ60</xm:sqref>
        </x14:dataValidation>
        <x14:dataValidation type="list" errorStyle="information" allowBlank="1" xr:uid="{E685CC6E-BE69-40C6-9A94-61538D261C97}">
          <x14:formula1>
            <xm:f>'DATABASE#'!$AL$3:$AL$6</xm:f>
          </x14:formula1>
          <xm:sqref>AK3:AK60</xm:sqref>
        </x14:dataValidation>
        <x14:dataValidation type="list" errorStyle="information" allowBlank="1" xr:uid="{248D8A9F-DF72-44F1-806A-CB7D048BA112}">
          <x14:formula1>
            <xm:f>'DATABASE#'!$W$3:$W$287</xm:f>
          </x14:formula1>
          <xm:sqref>AO3:AO60</xm:sqref>
        </x14:dataValidation>
        <x14:dataValidation type="list" errorStyle="information" allowBlank="1" xr:uid="{E2B9EA29-5C4D-4A60-A362-996DB30E3EA5}">
          <x14:formula1>
            <xm:f>'DATABASE#'!$S$3:$S$8</xm:f>
          </x14:formula1>
          <xm:sqref>AR3:AR60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C0EB5-7615-44C5-8F3F-2871CE07C34B}">
  <sheetPr codeName="shLV"/>
  <dimension ref="B1:I167"/>
  <sheetViews>
    <sheetView showGridLines="0" workbookViewId="0">
      <pane ySplit="4" topLeftCell="A5" activePane="bottomLeft" state="frozen"/>
      <selection pane="bottomLeft" activeCell="B2" sqref="B2"/>
    </sheetView>
  </sheetViews>
  <sheetFormatPr defaultRowHeight="15" x14ac:dyDescent="0.25"/>
  <cols>
    <col min="1" max="1" width="5.42578125" customWidth="1"/>
    <col min="2" max="2" width="12.7109375" style="53" bestFit="1" customWidth="1"/>
    <col min="3" max="3" width="37.7109375" style="53" customWidth="1"/>
    <col min="4" max="4" width="21.28515625" style="53" customWidth="1"/>
    <col min="5" max="5" width="14.5703125" style="53" customWidth="1"/>
    <col min="6" max="6" width="49" style="53" customWidth="1"/>
    <col min="7" max="8" width="12.42578125" style="53" customWidth="1"/>
    <col min="9" max="9" width="16" style="53" customWidth="1"/>
  </cols>
  <sheetData>
    <row r="1" spans="2:9" x14ac:dyDescent="0.25">
      <c r="B1" s="56"/>
      <c r="C1" s="56"/>
      <c r="D1" s="56"/>
      <c r="E1" s="56"/>
      <c r="F1" s="56"/>
      <c r="G1" s="54"/>
      <c r="H1" s="54"/>
      <c r="I1" s="55"/>
    </row>
    <row r="2" spans="2:9" ht="24" x14ac:dyDescent="0.25">
      <c r="B2" s="83" t="s">
        <v>1190</v>
      </c>
      <c r="C2" s="84"/>
      <c r="D2" s="84"/>
      <c r="E2" s="84"/>
      <c r="F2" s="85" t="s">
        <v>1189</v>
      </c>
      <c r="G2" s="87"/>
      <c r="H2" s="87"/>
      <c r="I2" s="88"/>
    </row>
    <row r="3" spans="2:9" x14ac:dyDescent="0.25">
      <c r="B3" s="89"/>
      <c r="C3" s="89"/>
      <c r="D3" s="89"/>
      <c r="E3" s="89"/>
      <c r="F3" s="89"/>
      <c r="G3" s="89"/>
      <c r="H3" s="89"/>
      <c r="I3" s="86"/>
    </row>
    <row r="4" spans="2:9" ht="18.75" customHeight="1" x14ac:dyDescent="0.25">
      <c r="B4" s="57" t="s">
        <v>1088</v>
      </c>
      <c r="C4" s="58" t="s">
        <v>1089</v>
      </c>
      <c r="D4" s="58" t="s">
        <v>1090</v>
      </c>
      <c r="E4" s="58" t="s">
        <v>1091</v>
      </c>
      <c r="F4" s="58" t="s">
        <v>1092</v>
      </c>
      <c r="G4" s="59" t="s">
        <v>1093</v>
      </c>
      <c r="H4" s="59" t="s">
        <v>1094</v>
      </c>
      <c r="I4" s="60" t="s">
        <v>1095</v>
      </c>
    </row>
    <row r="5" spans="2:9" x14ac:dyDescent="0.25">
      <c r="B5" s="90"/>
      <c r="C5" s="91" t="s">
        <v>921</v>
      </c>
      <c r="D5" s="91"/>
      <c r="E5" s="91"/>
      <c r="F5" s="91"/>
      <c r="G5" s="92"/>
      <c r="H5" s="92"/>
      <c r="I5" s="93">
        <v>0</v>
      </c>
    </row>
    <row r="6" spans="2:9" x14ac:dyDescent="0.25">
      <c r="B6" s="57"/>
      <c r="C6" s="58" t="s">
        <v>1096</v>
      </c>
      <c r="D6" s="58"/>
      <c r="E6" s="58"/>
      <c r="F6" s="58"/>
      <c r="G6" s="59"/>
      <c r="H6" s="59"/>
      <c r="I6" s="60"/>
    </row>
    <row r="7" spans="2:9" x14ac:dyDescent="0.25">
      <c r="B7" s="78"/>
      <c r="C7" s="79"/>
      <c r="D7" s="79"/>
      <c r="E7" s="79"/>
      <c r="F7" s="79"/>
      <c r="G7" s="80"/>
      <c r="H7" s="80"/>
      <c r="I7" s="81"/>
    </row>
    <row r="8" spans="2:9" x14ac:dyDescent="0.25">
      <c r="B8" s="78"/>
      <c r="C8" s="79"/>
      <c r="D8" s="79"/>
      <c r="E8" s="79"/>
      <c r="F8" s="79"/>
      <c r="G8" s="80"/>
      <c r="H8" s="80"/>
      <c r="I8" s="81"/>
    </row>
    <row r="9" spans="2:9" x14ac:dyDescent="0.25">
      <c r="B9" s="78"/>
      <c r="C9" s="79"/>
      <c r="D9" s="79"/>
      <c r="E9" s="79"/>
      <c r="F9" s="79"/>
      <c r="G9" s="80"/>
      <c r="H9" s="80"/>
      <c r="I9" s="81"/>
    </row>
    <row r="10" spans="2:9" x14ac:dyDescent="0.25">
      <c r="B10" s="78"/>
      <c r="C10" s="79"/>
      <c r="D10" s="79"/>
      <c r="E10" s="79"/>
      <c r="F10" s="79"/>
      <c r="G10" s="80"/>
      <c r="H10" s="80"/>
      <c r="I10" s="81"/>
    </row>
    <row r="11" spans="2:9" x14ac:dyDescent="0.25">
      <c r="B11" s="78"/>
      <c r="C11" s="79"/>
      <c r="D11" s="79"/>
      <c r="E11" s="79"/>
      <c r="F11" s="79"/>
      <c r="G11" s="80"/>
      <c r="H11" s="80"/>
      <c r="I11" s="81"/>
    </row>
    <row r="12" spans="2:9" x14ac:dyDescent="0.25">
      <c r="B12" s="78"/>
      <c r="C12" s="79"/>
      <c r="D12" s="79"/>
      <c r="E12" s="79"/>
      <c r="F12" s="79"/>
      <c r="G12" s="80"/>
      <c r="H12" s="80"/>
      <c r="I12" s="81"/>
    </row>
    <row r="13" spans="2:9" x14ac:dyDescent="0.25">
      <c r="B13" s="78"/>
      <c r="C13" s="79"/>
      <c r="D13" s="79"/>
      <c r="E13" s="79"/>
      <c r="F13" s="79"/>
      <c r="G13" s="80"/>
      <c r="H13" s="80"/>
      <c r="I13" s="81"/>
    </row>
    <row r="14" spans="2:9" x14ac:dyDescent="0.25">
      <c r="B14" s="78"/>
      <c r="C14" s="79"/>
      <c r="D14" s="79"/>
      <c r="E14" s="79"/>
      <c r="F14" s="79"/>
      <c r="G14" s="80"/>
      <c r="H14" s="80"/>
      <c r="I14" s="81"/>
    </row>
    <row r="15" spans="2:9" x14ac:dyDescent="0.25">
      <c r="B15" s="78"/>
      <c r="C15" s="79"/>
      <c r="D15" s="79"/>
      <c r="E15" s="79"/>
      <c r="F15" s="79"/>
      <c r="G15" s="80"/>
      <c r="H15" s="80"/>
      <c r="I15" s="81"/>
    </row>
    <row r="16" spans="2:9" x14ac:dyDescent="0.25">
      <c r="B16" s="78"/>
      <c r="C16" s="79"/>
      <c r="D16" s="79"/>
      <c r="E16" s="79"/>
      <c r="F16" s="79"/>
      <c r="G16" s="80"/>
      <c r="H16" s="80"/>
      <c r="I16" s="81"/>
    </row>
    <row r="17" spans="2:9" x14ac:dyDescent="0.25">
      <c r="B17" s="78"/>
      <c r="C17" s="79"/>
      <c r="D17" s="79"/>
      <c r="E17" s="79"/>
      <c r="F17" s="79"/>
      <c r="G17" s="80"/>
      <c r="H17" s="80"/>
      <c r="I17" s="81"/>
    </row>
    <row r="18" spans="2:9" x14ac:dyDescent="0.25">
      <c r="B18" s="78"/>
      <c r="C18" s="79"/>
      <c r="D18" s="79"/>
      <c r="E18" s="79"/>
      <c r="F18" s="79"/>
      <c r="G18" s="80"/>
      <c r="H18" s="80"/>
      <c r="I18" s="81"/>
    </row>
    <row r="19" spans="2:9" x14ac:dyDescent="0.25">
      <c r="B19" s="78"/>
      <c r="C19" s="79"/>
      <c r="D19" s="79"/>
      <c r="E19" s="79"/>
      <c r="F19" s="79"/>
      <c r="G19" s="80"/>
      <c r="H19" s="80"/>
      <c r="I19" s="81"/>
    </row>
    <row r="20" spans="2:9" x14ac:dyDescent="0.25">
      <c r="B20" s="78"/>
      <c r="C20" s="79"/>
      <c r="D20" s="79"/>
      <c r="E20" s="79"/>
      <c r="F20" s="79"/>
      <c r="G20" s="80"/>
      <c r="H20" s="80"/>
      <c r="I20" s="81"/>
    </row>
    <row r="21" spans="2:9" x14ac:dyDescent="0.25">
      <c r="B21" s="78"/>
      <c r="C21" s="79"/>
      <c r="D21" s="79"/>
      <c r="E21" s="79"/>
      <c r="F21" s="79"/>
      <c r="G21" s="80"/>
      <c r="H21" s="80"/>
      <c r="I21" s="81"/>
    </row>
    <row r="22" spans="2:9" x14ac:dyDescent="0.25">
      <c r="B22" s="78"/>
      <c r="C22" s="79"/>
      <c r="D22" s="79"/>
      <c r="E22" s="79"/>
      <c r="F22" s="79"/>
      <c r="G22" s="80"/>
      <c r="H22" s="80"/>
      <c r="I22" s="81"/>
    </row>
    <row r="23" spans="2:9" x14ac:dyDescent="0.25">
      <c r="B23" s="78"/>
      <c r="C23" s="79"/>
      <c r="D23" s="79"/>
      <c r="E23" s="79"/>
      <c r="F23" s="79"/>
      <c r="G23" s="80"/>
      <c r="H23" s="80"/>
      <c r="I23" s="81"/>
    </row>
    <row r="24" spans="2:9" x14ac:dyDescent="0.25">
      <c r="B24" s="78"/>
      <c r="C24" s="79"/>
      <c r="D24" s="79"/>
      <c r="E24" s="79"/>
      <c r="F24" s="79"/>
      <c r="G24" s="80"/>
      <c r="H24" s="80"/>
      <c r="I24" s="81"/>
    </row>
    <row r="25" spans="2:9" x14ac:dyDescent="0.25">
      <c r="B25" s="78"/>
      <c r="C25" s="79"/>
      <c r="D25" s="79"/>
      <c r="E25" s="79"/>
      <c r="F25" s="79"/>
      <c r="G25" s="80"/>
      <c r="H25" s="80"/>
      <c r="I25" s="81"/>
    </row>
    <row r="26" spans="2:9" x14ac:dyDescent="0.25">
      <c r="B26" s="78"/>
      <c r="C26" s="79"/>
      <c r="D26" s="79"/>
      <c r="E26" s="79"/>
      <c r="F26" s="79"/>
      <c r="G26" s="80"/>
      <c r="H26" s="80"/>
      <c r="I26" s="81"/>
    </row>
    <row r="27" spans="2:9" x14ac:dyDescent="0.25">
      <c r="B27" s="78"/>
      <c r="C27" s="79"/>
      <c r="D27" s="79"/>
      <c r="E27" s="79"/>
      <c r="F27" s="79"/>
      <c r="G27" s="80"/>
      <c r="H27" s="80"/>
      <c r="I27" s="81"/>
    </row>
    <row r="28" spans="2:9" x14ac:dyDescent="0.25">
      <c r="B28" s="78"/>
      <c r="C28" s="79"/>
      <c r="D28" s="79"/>
      <c r="E28" s="79"/>
      <c r="F28" s="79"/>
      <c r="G28" s="80"/>
      <c r="H28" s="80"/>
      <c r="I28" s="81"/>
    </row>
    <row r="29" spans="2:9" x14ac:dyDescent="0.25">
      <c r="B29" s="78"/>
      <c r="C29" s="79"/>
      <c r="D29" s="79"/>
      <c r="E29" s="79"/>
      <c r="F29" s="79"/>
      <c r="G29" s="80"/>
      <c r="H29" s="80"/>
      <c r="I29" s="81"/>
    </row>
    <row r="30" spans="2:9" x14ac:dyDescent="0.25">
      <c r="B30" s="78"/>
      <c r="C30" s="79"/>
      <c r="D30" s="79"/>
      <c r="E30" s="79"/>
      <c r="F30" s="79"/>
      <c r="G30" s="80"/>
      <c r="H30" s="80"/>
      <c r="I30" s="81"/>
    </row>
    <row r="31" spans="2:9" x14ac:dyDescent="0.25">
      <c r="B31" s="78"/>
      <c r="C31" s="79"/>
      <c r="D31" s="79"/>
      <c r="E31" s="79"/>
      <c r="F31" s="79"/>
      <c r="G31" s="80"/>
      <c r="H31" s="80"/>
      <c r="I31" s="81"/>
    </row>
    <row r="32" spans="2:9" x14ac:dyDescent="0.25">
      <c r="B32" s="78"/>
      <c r="C32" s="79"/>
      <c r="D32" s="79"/>
      <c r="E32" s="79"/>
      <c r="F32" s="79"/>
      <c r="G32" s="80"/>
      <c r="H32" s="80"/>
      <c r="I32" s="81"/>
    </row>
    <row r="33" spans="2:9" x14ac:dyDescent="0.25">
      <c r="B33" s="78"/>
      <c r="C33" s="79"/>
      <c r="D33" s="79"/>
      <c r="E33" s="79"/>
      <c r="F33" s="79"/>
      <c r="G33" s="80"/>
      <c r="H33" s="80"/>
      <c r="I33" s="81"/>
    </row>
    <row r="34" spans="2:9" x14ac:dyDescent="0.25">
      <c r="B34" s="78"/>
      <c r="C34" s="79"/>
      <c r="D34" s="79"/>
      <c r="E34" s="79"/>
      <c r="F34" s="79"/>
      <c r="G34" s="80"/>
      <c r="H34" s="80"/>
      <c r="I34" s="81"/>
    </row>
    <row r="35" spans="2:9" x14ac:dyDescent="0.25">
      <c r="B35" s="78"/>
      <c r="C35" s="79"/>
      <c r="D35" s="79"/>
      <c r="E35" s="79"/>
      <c r="F35" s="79"/>
      <c r="G35" s="80"/>
      <c r="H35" s="80"/>
      <c r="I35" s="81"/>
    </row>
    <row r="36" spans="2:9" x14ac:dyDescent="0.25">
      <c r="B36" s="78"/>
      <c r="C36" s="79"/>
      <c r="D36" s="79"/>
      <c r="E36" s="79"/>
      <c r="F36" s="79"/>
      <c r="G36" s="80"/>
      <c r="H36" s="80"/>
      <c r="I36" s="81"/>
    </row>
    <row r="37" spans="2:9" x14ac:dyDescent="0.25">
      <c r="B37" s="72"/>
      <c r="C37" s="73"/>
      <c r="D37" s="73"/>
      <c r="E37" s="73"/>
      <c r="F37" s="73"/>
      <c r="G37" s="74"/>
      <c r="H37" s="74"/>
      <c r="I37" s="75"/>
    </row>
    <row r="38" spans="2:9" x14ac:dyDescent="0.25">
      <c r="B38" s="72"/>
      <c r="C38" s="73"/>
      <c r="D38" s="73"/>
      <c r="E38" s="73"/>
      <c r="F38" s="73"/>
      <c r="G38" s="74"/>
      <c r="H38" s="74"/>
      <c r="I38" s="75"/>
    </row>
    <row r="39" spans="2:9" x14ac:dyDescent="0.25">
      <c r="B39" s="72"/>
      <c r="C39" s="73"/>
      <c r="D39" s="73"/>
      <c r="E39" s="73"/>
      <c r="F39" s="73"/>
      <c r="G39" s="74"/>
      <c r="H39" s="74"/>
      <c r="I39" s="75"/>
    </row>
    <row r="40" spans="2:9" x14ac:dyDescent="0.25">
      <c r="B40" s="72"/>
      <c r="C40" s="73"/>
      <c r="D40" s="73"/>
      <c r="E40" s="73"/>
      <c r="F40" s="73"/>
      <c r="G40" s="74"/>
      <c r="H40" s="74"/>
      <c r="I40" s="75"/>
    </row>
    <row r="41" spans="2:9" x14ac:dyDescent="0.25">
      <c r="B41" s="67"/>
      <c r="C41" s="68"/>
      <c r="D41" s="68"/>
      <c r="E41" s="68"/>
      <c r="F41" s="68"/>
      <c r="G41" s="69"/>
      <c r="H41" s="69"/>
      <c r="I41" s="70"/>
    </row>
    <row r="42" spans="2:9" x14ac:dyDescent="0.25">
      <c r="B42" s="67"/>
      <c r="C42" s="68"/>
      <c r="D42" s="68"/>
      <c r="E42" s="68"/>
      <c r="F42" s="68"/>
      <c r="G42" s="69"/>
      <c r="H42" s="69"/>
      <c r="I42" s="70"/>
    </row>
    <row r="43" spans="2:9" x14ac:dyDescent="0.25">
      <c r="B43" s="67"/>
      <c r="C43" s="68"/>
      <c r="D43" s="68"/>
      <c r="E43" s="68"/>
      <c r="F43" s="68"/>
      <c r="G43" s="69"/>
      <c r="H43" s="69"/>
      <c r="I43" s="70"/>
    </row>
    <row r="44" spans="2:9" x14ac:dyDescent="0.25">
      <c r="B44" s="67"/>
      <c r="C44" s="68"/>
      <c r="D44" s="68"/>
      <c r="E44" s="68"/>
      <c r="F44" s="68"/>
      <c r="G44" s="69"/>
      <c r="H44" s="69"/>
      <c r="I44" s="70"/>
    </row>
    <row r="45" spans="2:9" x14ac:dyDescent="0.25">
      <c r="B45" s="67"/>
      <c r="C45" s="68"/>
      <c r="D45" s="68"/>
      <c r="E45" s="68"/>
      <c r="F45" s="68"/>
      <c r="G45" s="69"/>
      <c r="H45" s="69"/>
      <c r="I45" s="70"/>
    </row>
    <row r="46" spans="2:9" x14ac:dyDescent="0.25">
      <c r="B46" s="67"/>
      <c r="C46" s="68"/>
      <c r="D46" s="68"/>
      <c r="E46" s="68"/>
      <c r="F46" s="68"/>
      <c r="G46" s="69"/>
      <c r="H46" s="69"/>
      <c r="I46" s="70"/>
    </row>
    <row r="47" spans="2:9" x14ac:dyDescent="0.25">
      <c r="B47" s="67"/>
      <c r="C47" s="68"/>
      <c r="D47" s="68"/>
      <c r="E47" s="68"/>
      <c r="F47" s="68"/>
      <c r="G47" s="69"/>
      <c r="H47" s="69"/>
      <c r="I47" s="70"/>
    </row>
    <row r="48" spans="2:9" x14ac:dyDescent="0.25">
      <c r="B48" s="67"/>
      <c r="C48" s="68"/>
      <c r="D48" s="68"/>
      <c r="E48" s="68"/>
      <c r="F48" s="68"/>
      <c r="G48" s="69"/>
      <c r="H48" s="69"/>
      <c r="I48" s="70"/>
    </row>
    <row r="49" spans="2:9" x14ac:dyDescent="0.25">
      <c r="B49" s="67"/>
      <c r="C49" s="68"/>
      <c r="D49" s="68"/>
      <c r="E49" s="68"/>
      <c r="F49" s="68"/>
      <c r="G49" s="69"/>
      <c r="H49" s="69"/>
      <c r="I49" s="70"/>
    </row>
    <row r="50" spans="2:9" x14ac:dyDescent="0.25">
      <c r="B50" s="67"/>
      <c r="C50" s="68"/>
      <c r="D50" s="68"/>
      <c r="E50" s="68"/>
      <c r="F50" s="68"/>
      <c r="G50" s="69"/>
      <c r="H50" s="69"/>
      <c r="I50" s="70"/>
    </row>
    <row r="51" spans="2:9" x14ac:dyDescent="0.25">
      <c r="B51" s="67"/>
      <c r="C51" s="68"/>
      <c r="D51" s="68"/>
      <c r="E51" s="68"/>
      <c r="F51" s="68"/>
      <c r="G51" s="69"/>
      <c r="H51" s="69"/>
      <c r="I51" s="70"/>
    </row>
    <row r="52" spans="2:9" x14ac:dyDescent="0.25">
      <c r="B52" s="67"/>
      <c r="C52" s="68"/>
      <c r="D52" s="68"/>
      <c r="E52" s="68"/>
      <c r="F52" s="68"/>
      <c r="G52" s="69"/>
      <c r="H52" s="69"/>
      <c r="I52" s="70"/>
    </row>
    <row r="53" spans="2:9" x14ac:dyDescent="0.25">
      <c r="B53" s="67"/>
      <c r="C53" s="68"/>
      <c r="D53" s="68"/>
      <c r="E53" s="68"/>
      <c r="F53" s="68"/>
      <c r="G53" s="69"/>
      <c r="H53" s="69"/>
      <c r="I53" s="70"/>
    </row>
    <row r="54" spans="2:9" x14ac:dyDescent="0.25">
      <c r="B54" s="67"/>
      <c r="C54" s="68"/>
      <c r="D54" s="68"/>
      <c r="E54" s="68"/>
      <c r="F54" s="68"/>
      <c r="G54" s="69"/>
      <c r="H54" s="69"/>
      <c r="I54" s="70"/>
    </row>
    <row r="55" spans="2:9" x14ac:dyDescent="0.25">
      <c r="B55" s="67"/>
      <c r="C55" s="68"/>
      <c r="D55" s="68"/>
      <c r="E55" s="68"/>
      <c r="F55" s="68"/>
      <c r="G55" s="69"/>
      <c r="H55" s="69"/>
      <c r="I55" s="70"/>
    </row>
    <row r="56" spans="2:9" x14ac:dyDescent="0.25">
      <c r="B56" s="67"/>
      <c r="C56" s="68"/>
      <c r="D56" s="68"/>
      <c r="E56" s="68"/>
      <c r="F56" s="68"/>
      <c r="G56" s="69"/>
      <c r="H56" s="69"/>
      <c r="I56" s="70"/>
    </row>
    <row r="57" spans="2:9" x14ac:dyDescent="0.25">
      <c r="B57" s="67"/>
      <c r="C57" s="68"/>
      <c r="D57" s="68"/>
      <c r="E57" s="68"/>
      <c r="F57" s="68"/>
      <c r="G57" s="69"/>
      <c r="H57" s="69"/>
      <c r="I57" s="70"/>
    </row>
    <row r="58" spans="2:9" x14ac:dyDescent="0.25">
      <c r="B58" s="67"/>
      <c r="C58" s="68"/>
      <c r="D58" s="68"/>
      <c r="E58" s="68"/>
      <c r="F58" s="68"/>
      <c r="G58" s="69"/>
      <c r="H58" s="69"/>
      <c r="I58" s="70"/>
    </row>
    <row r="59" spans="2:9" x14ac:dyDescent="0.25">
      <c r="B59" s="67"/>
      <c r="C59" s="68"/>
      <c r="D59" s="68"/>
      <c r="E59" s="68"/>
      <c r="F59" s="68"/>
      <c r="G59" s="69"/>
      <c r="H59" s="69"/>
      <c r="I59" s="70"/>
    </row>
    <row r="60" spans="2:9" x14ac:dyDescent="0.25">
      <c r="B60" s="67"/>
      <c r="C60" s="68"/>
      <c r="D60" s="68"/>
      <c r="E60" s="68"/>
      <c r="F60" s="68"/>
      <c r="G60" s="69"/>
      <c r="H60" s="69"/>
      <c r="I60" s="70"/>
    </row>
    <row r="61" spans="2:9" x14ac:dyDescent="0.25">
      <c r="B61" s="67"/>
      <c r="C61" s="68"/>
      <c r="D61" s="68"/>
      <c r="E61" s="68"/>
      <c r="F61" s="68"/>
      <c r="G61" s="69"/>
      <c r="H61" s="69"/>
      <c r="I61" s="70"/>
    </row>
    <row r="62" spans="2:9" x14ac:dyDescent="0.25">
      <c r="B62" s="67"/>
      <c r="C62" s="68"/>
      <c r="D62" s="68"/>
      <c r="E62" s="68"/>
      <c r="F62" s="68"/>
      <c r="G62" s="69"/>
      <c r="H62" s="69"/>
      <c r="I62" s="70"/>
    </row>
    <row r="63" spans="2:9" x14ac:dyDescent="0.25">
      <c r="B63" s="67"/>
      <c r="C63" s="68"/>
      <c r="D63" s="68"/>
      <c r="E63" s="68"/>
      <c r="F63" s="68"/>
      <c r="G63" s="69"/>
      <c r="H63" s="69"/>
      <c r="I63" s="70"/>
    </row>
    <row r="64" spans="2:9" x14ac:dyDescent="0.25">
      <c r="B64" s="67"/>
      <c r="C64" s="68"/>
      <c r="D64" s="68"/>
      <c r="E64" s="68"/>
      <c r="F64" s="68"/>
      <c r="G64" s="69"/>
      <c r="H64" s="69"/>
      <c r="I64" s="70"/>
    </row>
    <row r="65" spans="2:9" x14ac:dyDescent="0.25">
      <c r="B65" s="67"/>
      <c r="C65" s="68"/>
      <c r="D65" s="68"/>
      <c r="E65" s="68"/>
      <c r="F65" s="68"/>
      <c r="G65" s="69"/>
      <c r="H65" s="69"/>
      <c r="I65" s="70"/>
    </row>
    <row r="66" spans="2:9" x14ac:dyDescent="0.25">
      <c r="B66" s="67"/>
      <c r="C66" s="68"/>
      <c r="D66" s="68"/>
      <c r="E66" s="68"/>
      <c r="F66" s="68"/>
      <c r="G66" s="69"/>
      <c r="H66" s="69"/>
      <c r="I66" s="70"/>
    </row>
    <row r="67" spans="2:9" x14ac:dyDescent="0.25">
      <c r="B67" s="67"/>
      <c r="C67" s="68"/>
      <c r="D67" s="68"/>
      <c r="E67" s="68"/>
      <c r="F67" s="68"/>
      <c r="G67" s="69"/>
      <c r="H67" s="69"/>
      <c r="I67" s="70"/>
    </row>
    <row r="68" spans="2:9" x14ac:dyDescent="0.25">
      <c r="B68" s="67"/>
      <c r="C68" s="68"/>
      <c r="D68" s="68"/>
      <c r="E68" s="68"/>
      <c r="F68" s="68"/>
      <c r="G68" s="69"/>
      <c r="H68" s="69"/>
      <c r="I68" s="70"/>
    </row>
    <row r="69" spans="2:9" x14ac:dyDescent="0.25">
      <c r="B69" s="67"/>
      <c r="C69" s="68"/>
      <c r="D69" s="68"/>
      <c r="E69" s="68"/>
      <c r="F69" s="68"/>
      <c r="G69" s="69"/>
      <c r="H69" s="69"/>
      <c r="I69" s="70"/>
    </row>
    <row r="70" spans="2:9" x14ac:dyDescent="0.25">
      <c r="B70" s="67"/>
      <c r="C70" s="68"/>
      <c r="D70" s="68"/>
      <c r="E70" s="68"/>
      <c r="F70" s="68"/>
      <c r="G70" s="69"/>
      <c r="H70" s="69"/>
      <c r="I70" s="70"/>
    </row>
    <row r="71" spans="2:9" x14ac:dyDescent="0.25">
      <c r="B71" s="67"/>
      <c r="C71" s="68"/>
      <c r="D71" s="68"/>
      <c r="E71" s="68"/>
      <c r="F71" s="68"/>
      <c r="G71" s="69"/>
      <c r="H71" s="69"/>
      <c r="I71" s="70"/>
    </row>
    <row r="72" spans="2:9" x14ac:dyDescent="0.25">
      <c r="B72" s="67"/>
      <c r="C72" s="68"/>
      <c r="D72" s="68"/>
      <c r="E72" s="68"/>
      <c r="F72" s="68"/>
      <c r="G72" s="69"/>
      <c r="H72" s="69"/>
      <c r="I72" s="70"/>
    </row>
    <row r="73" spans="2:9" x14ac:dyDescent="0.25">
      <c r="B73" s="67"/>
      <c r="C73" s="68"/>
      <c r="D73" s="68"/>
      <c r="E73" s="68"/>
      <c r="F73" s="68"/>
      <c r="G73" s="69"/>
      <c r="H73" s="69"/>
      <c r="I73" s="70"/>
    </row>
    <row r="74" spans="2:9" x14ac:dyDescent="0.25">
      <c r="B74" s="67"/>
      <c r="C74" s="68"/>
      <c r="D74" s="68"/>
      <c r="E74" s="68"/>
      <c r="F74" s="68"/>
      <c r="G74" s="69"/>
      <c r="H74" s="69"/>
      <c r="I74" s="70"/>
    </row>
    <row r="75" spans="2:9" x14ac:dyDescent="0.25">
      <c r="B75" s="67"/>
      <c r="C75" s="68"/>
      <c r="D75" s="68"/>
      <c r="E75" s="68"/>
      <c r="F75" s="68"/>
      <c r="G75" s="69"/>
      <c r="H75" s="69"/>
      <c r="I75" s="70"/>
    </row>
    <row r="76" spans="2:9" x14ac:dyDescent="0.25">
      <c r="B76" s="67"/>
      <c r="C76" s="68"/>
      <c r="D76" s="68"/>
      <c r="E76" s="68"/>
      <c r="F76" s="68"/>
      <c r="G76" s="69"/>
      <c r="H76" s="69"/>
      <c r="I76" s="70"/>
    </row>
    <row r="77" spans="2:9" x14ac:dyDescent="0.25">
      <c r="B77" s="67"/>
      <c r="C77" s="68"/>
      <c r="D77" s="68"/>
      <c r="E77" s="68"/>
      <c r="F77" s="68"/>
      <c r="G77" s="69"/>
      <c r="H77" s="69"/>
      <c r="I77" s="70"/>
    </row>
    <row r="78" spans="2:9" x14ac:dyDescent="0.25">
      <c r="B78" s="67"/>
      <c r="C78" s="68"/>
      <c r="D78" s="68"/>
      <c r="E78" s="68"/>
      <c r="F78" s="68"/>
      <c r="G78" s="69"/>
      <c r="H78" s="69"/>
      <c r="I78" s="70"/>
    </row>
    <row r="79" spans="2:9" x14ac:dyDescent="0.25">
      <c r="B79" s="67"/>
      <c r="C79" s="68"/>
      <c r="D79" s="68"/>
      <c r="E79" s="68"/>
      <c r="F79" s="68"/>
      <c r="G79" s="69"/>
      <c r="H79" s="69"/>
      <c r="I79" s="70"/>
    </row>
    <row r="80" spans="2:9" x14ac:dyDescent="0.25">
      <c r="B80" s="67"/>
      <c r="C80" s="68"/>
      <c r="D80" s="68"/>
      <c r="E80" s="68"/>
      <c r="F80" s="68"/>
      <c r="G80" s="69"/>
      <c r="H80" s="69"/>
      <c r="I80" s="70"/>
    </row>
    <row r="81" spans="2:9" x14ac:dyDescent="0.25">
      <c r="B81" s="67"/>
      <c r="C81" s="68"/>
      <c r="D81" s="68"/>
      <c r="E81" s="68"/>
      <c r="F81" s="68"/>
      <c r="G81" s="69"/>
      <c r="H81" s="69"/>
      <c r="I81" s="70"/>
    </row>
    <row r="82" spans="2:9" x14ac:dyDescent="0.25">
      <c r="B82" s="67"/>
      <c r="C82" s="68"/>
      <c r="D82" s="68"/>
      <c r="E82" s="68"/>
      <c r="F82" s="68"/>
      <c r="G82" s="69"/>
      <c r="H82" s="69"/>
      <c r="I82" s="70"/>
    </row>
    <row r="83" spans="2:9" x14ac:dyDescent="0.25">
      <c r="B83" s="67"/>
      <c r="C83" s="68"/>
      <c r="D83" s="68"/>
      <c r="E83" s="68"/>
      <c r="F83" s="68"/>
      <c r="G83" s="69"/>
      <c r="H83" s="69"/>
      <c r="I83" s="70"/>
    </row>
    <row r="84" spans="2:9" x14ac:dyDescent="0.25">
      <c r="B84" s="67"/>
      <c r="C84" s="68"/>
      <c r="D84" s="68"/>
      <c r="E84" s="68"/>
      <c r="F84" s="68"/>
      <c r="G84" s="69"/>
      <c r="H84" s="69"/>
      <c r="I84" s="70"/>
    </row>
    <row r="85" spans="2:9" x14ac:dyDescent="0.25">
      <c r="B85" s="67"/>
      <c r="C85" s="68"/>
      <c r="D85" s="68"/>
      <c r="E85" s="68"/>
      <c r="F85" s="68"/>
      <c r="G85" s="69"/>
      <c r="H85" s="69"/>
      <c r="I85" s="70"/>
    </row>
    <row r="86" spans="2:9" x14ac:dyDescent="0.25">
      <c r="B86" s="67"/>
      <c r="C86" s="68"/>
      <c r="D86" s="68"/>
      <c r="E86" s="68"/>
      <c r="F86" s="68"/>
      <c r="G86" s="69"/>
      <c r="H86" s="69"/>
      <c r="I86" s="70"/>
    </row>
    <row r="87" spans="2:9" x14ac:dyDescent="0.25">
      <c r="B87" s="67"/>
      <c r="C87" s="68"/>
      <c r="D87" s="68"/>
      <c r="E87" s="68"/>
      <c r="F87" s="68"/>
      <c r="G87" s="69"/>
      <c r="H87" s="69"/>
      <c r="I87" s="70"/>
    </row>
    <row r="88" spans="2:9" x14ac:dyDescent="0.25">
      <c r="B88" s="67"/>
      <c r="C88" s="68"/>
      <c r="D88" s="68"/>
      <c r="E88" s="68"/>
      <c r="F88" s="68"/>
      <c r="G88" s="69"/>
      <c r="H88" s="69"/>
      <c r="I88" s="70"/>
    </row>
    <row r="89" spans="2:9" x14ac:dyDescent="0.25">
      <c r="B89" s="67"/>
      <c r="C89" s="68"/>
      <c r="D89" s="68"/>
      <c r="E89" s="68"/>
      <c r="F89" s="68"/>
      <c r="G89" s="69"/>
      <c r="H89" s="69"/>
      <c r="I89" s="70"/>
    </row>
    <row r="90" spans="2:9" x14ac:dyDescent="0.25">
      <c r="B90" s="67"/>
      <c r="C90" s="68"/>
      <c r="D90" s="68"/>
      <c r="E90" s="68"/>
      <c r="F90" s="68"/>
      <c r="G90" s="69"/>
      <c r="H90" s="69"/>
      <c r="I90" s="70"/>
    </row>
    <row r="91" spans="2:9" x14ac:dyDescent="0.25">
      <c r="B91" s="67"/>
      <c r="C91" s="68"/>
      <c r="D91" s="68"/>
      <c r="E91" s="68"/>
      <c r="F91" s="68"/>
      <c r="G91" s="69"/>
      <c r="H91" s="69"/>
      <c r="I91" s="70"/>
    </row>
    <row r="92" spans="2:9" x14ac:dyDescent="0.25">
      <c r="B92" s="67"/>
      <c r="C92" s="68"/>
      <c r="D92" s="68"/>
      <c r="E92" s="68"/>
      <c r="F92" s="68"/>
      <c r="G92" s="69"/>
      <c r="H92" s="69"/>
      <c r="I92" s="70"/>
    </row>
    <row r="93" spans="2:9" x14ac:dyDescent="0.25">
      <c r="B93" s="67"/>
      <c r="C93" s="68"/>
      <c r="D93" s="68"/>
      <c r="E93" s="68"/>
      <c r="F93" s="68"/>
      <c r="G93" s="69"/>
      <c r="H93" s="69"/>
      <c r="I93" s="70"/>
    </row>
    <row r="94" spans="2:9" x14ac:dyDescent="0.25">
      <c r="B94" s="67"/>
      <c r="C94" s="68"/>
      <c r="D94" s="68"/>
      <c r="E94" s="68"/>
      <c r="F94" s="68"/>
      <c r="G94" s="69"/>
      <c r="H94" s="69"/>
      <c r="I94" s="70"/>
    </row>
    <row r="95" spans="2:9" x14ac:dyDescent="0.25">
      <c r="B95" s="67"/>
      <c r="C95" s="68"/>
      <c r="D95" s="68"/>
      <c r="E95" s="68"/>
      <c r="F95" s="68"/>
      <c r="G95" s="69"/>
      <c r="H95" s="69"/>
      <c r="I95" s="70"/>
    </row>
    <row r="96" spans="2:9" x14ac:dyDescent="0.25">
      <c r="B96" s="67"/>
      <c r="C96" s="68"/>
      <c r="D96" s="68"/>
      <c r="E96" s="68"/>
      <c r="F96" s="68"/>
      <c r="G96" s="69"/>
      <c r="H96" s="69"/>
      <c r="I96" s="70"/>
    </row>
    <row r="97" spans="2:9" x14ac:dyDescent="0.25">
      <c r="B97" s="67"/>
      <c r="C97" s="68"/>
      <c r="D97" s="68"/>
      <c r="E97" s="68"/>
      <c r="F97" s="68"/>
      <c r="G97" s="69"/>
      <c r="H97" s="69"/>
      <c r="I97" s="70"/>
    </row>
    <row r="98" spans="2:9" x14ac:dyDescent="0.25">
      <c r="B98" s="67"/>
      <c r="C98" s="68"/>
      <c r="D98" s="68"/>
      <c r="E98" s="68"/>
      <c r="F98" s="68"/>
      <c r="G98" s="69"/>
      <c r="H98" s="69"/>
      <c r="I98" s="70"/>
    </row>
    <row r="99" spans="2:9" x14ac:dyDescent="0.25">
      <c r="B99" s="67"/>
      <c r="C99" s="68"/>
      <c r="D99" s="68"/>
      <c r="E99" s="68"/>
      <c r="F99" s="68"/>
      <c r="G99" s="69"/>
      <c r="H99" s="69"/>
      <c r="I99" s="70"/>
    </row>
    <row r="100" spans="2:9" x14ac:dyDescent="0.25">
      <c r="B100" s="67"/>
      <c r="C100" s="68"/>
      <c r="D100" s="68"/>
      <c r="E100" s="68"/>
      <c r="F100" s="68"/>
      <c r="G100" s="69"/>
      <c r="H100" s="69"/>
      <c r="I100" s="70"/>
    </row>
    <row r="101" spans="2:9" x14ac:dyDescent="0.25">
      <c r="B101" s="67"/>
      <c r="C101" s="68"/>
      <c r="D101" s="68"/>
      <c r="E101" s="68"/>
      <c r="F101" s="68"/>
      <c r="G101" s="69"/>
      <c r="H101" s="69"/>
      <c r="I101" s="70"/>
    </row>
    <row r="102" spans="2:9" x14ac:dyDescent="0.25">
      <c r="B102" s="67"/>
      <c r="C102" s="68"/>
      <c r="D102" s="68"/>
      <c r="E102" s="68"/>
      <c r="F102" s="68"/>
      <c r="G102" s="69"/>
      <c r="H102" s="69"/>
      <c r="I102" s="70"/>
    </row>
    <row r="103" spans="2:9" x14ac:dyDescent="0.25">
      <c r="B103" s="67"/>
      <c r="C103" s="68"/>
      <c r="D103" s="68"/>
      <c r="E103" s="68"/>
      <c r="F103" s="68"/>
      <c r="G103" s="69"/>
      <c r="H103" s="69"/>
      <c r="I103" s="70"/>
    </row>
    <row r="104" spans="2:9" x14ac:dyDescent="0.25">
      <c r="B104" s="67"/>
      <c r="C104" s="68"/>
      <c r="D104" s="68"/>
      <c r="E104" s="68"/>
      <c r="F104" s="68"/>
      <c r="G104" s="69"/>
      <c r="H104" s="69"/>
      <c r="I104" s="70"/>
    </row>
    <row r="105" spans="2:9" x14ac:dyDescent="0.25">
      <c r="B105" s="67"/>
      <c r="C105" s="68"/>
      <c r="D105" s="68"/>
      <c r="E105" s="68"/>
      <c r="F105" s="68"/>
      <c r="G105" s="69"/>
      <c r="H105" s="69"/>
      <c r="I105" s="70"/>
    </row>
    <row r="106" spans="2:9" x14ac:dyDescent="0.25">
      <c r="B106" s="67"/>
      <c r="C106" s="68"/>
      <c r="D106" s="68"/>
      <c r="E106" s="68"/>
      <c r="F106" s="68"/>
      <c r="G106" s="69"/>
      <c r="H106" s="69"/>
      <c r="I106" s="70"/>
    </row>
    <row r="107" spans="2:9" x14ac:dyDescent="0.25">
      <c r="B107" s="67"/>
      <c r="C107" s="68"/>
      <c r="D107" s="68"/>
      <c r="E107" s="68"/>
      <c r="F107" s="68"/>
      <c r="G107" s="69"/>
      <c r="H107" s="69"/>
      <c r="I107" s="70"/>
    </row>
    <row r="108" spans="2:9" x14ac:dyDescent="0.25">
      <c r="B108" s="67"/>
      <c r="C108" s="68"/>
      <c r="D108" s="68"/>
      <c r="E108" s="68"/>
      <c r="F108" s="68"/>
      <c r="G108" s="69"/>
      <c r="H108" s="69"/>
      <c r="I108" s="70"/>
    </row>
    <row r="109" spans="2:9" x14ac:dyDescent="0.25">
      <c r="B109" s="67"/>
      <c r="C109" s="68"/>
      <c r="D109" s="68"/>
      <c r="E109" s="68"/>
      <c r="F109" s="68"/>
      <c r="G109" s="69"/>
      <c r="H109" s="69"/>
      <c r="I109" s="70"/>
    </row>
    <row r="110" spans="2:9" x14ac:dyDescent="0.25">
      <c r="B110" s="67"/>
      <c r="C110" s="68"/>
      <c r="D110" s="68"/>
      <c r="E110" s="68"/>
      <c r="F110" s="68"/>
      <c r="G110" s="69"/>
      <c r="H110" s="69"/>
      <c r="I110" s="70"/>
    </row>
    <row r="111" spans="2:9" x14ac:dyDescent="0.25">
      <c r="B111" s="67"/>
      <c r="C111" s="68"/>
      <c r="D111" s="68"/>
      <c r="E111" s="68"/>
      <c r="F111" s="68"/>
      <c r="G111" s="69"/>
      <c r="H111" s="69"/>
      <c r="I111" s="70"/>
    </row>
    <row r="112" spans="2:9" x14ac:dyDescent="0.25">
      <c r="B112" s="67"/>
      <c r="C112" s="68"/>
      <c r="D112" s="68"/>
      <c r="E112" s="68"/>
      <c r="F112" s="68"/>
      <c r="G112" s="69"/>
      <c r="H112" s="69"/>
      <c r="I112" s="70"/>
    </row>
    <row r="113" spans="2:9" x14ac:dyDescent="0.25">
      <c r="B113" s="67"/>
      <c r="C113" s="68"/>
      <c r="D113" s="68"/>
      <c r="E113" s="68"/>
      <c r="F113" s="68"/>
      <c r="G113" s="69"/>
      <c r="H113" s="69"/>
      <c r="I113" s="70"/>
    </row>
    <row r="114" spans="2:9" x14ac:dyDescent="0.25">
      <c r="B114" s="67"/>
      <c r="C114" s="68"/>
      <c r="D114" s="68"/>
      <c r="E114" s="68"/>
      <c r="F114" s="68"/>
      <c r="G114" s="69"/>
      <c r="H114" s="69"/>
      <c r="I114" s="70"/>
    </row>
    <row r="115" spans="2:9" x14ac:dyDescent="0.25">
      <c r="B115" s="67"/>
      <c r="C115" s="68"/>
      <c r="D115" s="68"/>
      <c r="E115" s="68"/>
      <c r="F115" s="68"/>
      <c r="G115" s="69"/>
      <c r="H115" s="69"/>
      <c r="I115" s="70"/>
    </row>
    <row r="116" spans="2:9" x14ac:dyDescent="0.25">
      <c r="B116" s="67"/>
      <c r="C116" s="68"/>
      <c r="D116" s="68"/>
      <c r="E116" s="68"/>
      <c r="F116" s="68"/>
      <c r="G116" s="69"/>
      <c r="H116" s="69"/>
      <c r="I116" s="70"/>
    </row>
    <row r="117" spans="2:9" x14ac:dyDescent="0.25">
      <c r="B117" s="67"/>
      <c r="C117" s="68"/>
      <c r="D117" s="68"/>
      <c r="E117" s="68"/>
      <c r="F117" s="68"/>
      <c r="G117" s="69"/>
      <c r="H117" s="69"/>
      <c r="I117" s="70"/>
    </row>
    <row r="118" spans="2:9" x14ac:dyDescent="0.25">
      <c r="B118" s="67"/>
      <c r="C118" s="68"/>
      <c r="D118" s="68"/>
      <c r="E118" s="68"/>
      <c r="F118" s="68"/>
      <c r="G118" s="69"/>
      <c r="H118" s="69"/>
      <c r="I118" s="70"/>
    </row>
    <row r="119" spans="2:9" x14ac:dyDescent="0.25">
      <c r="B119" s="67"/>
      <c r="C119" s="68"/>
      <c r="D119" s="68"/>
      <c r="E119" s="68"/>
      <c r="F119" s="68"/>
      <c r="G119" s="69"/>
      <c r="H119" s="69"/>
      <c r="I119" s="70"/>
    </row>
    <row r="120" spans="2:9" x14ac:dyDescent="0.25">
      <c r="B120" s="67"/>
      <c r="C120" s="68"/>
      <c r="D120" s="68"/>
      <c r="E120" s="68"/>
      <c r="F120" s="68"/>
      <c r="G120" s="69"/>
      <c r="H120" s="69"/>
      <c r="I120" s="70"/>
    </row>
    <row r="121" spans="2:9" x14ac:dyDescent="0.25">
      <c r="B121" s="67"/>
      <c r="C121" s="68"/>
      <c r="D121" s="68"/>
      <c r="E121" s="68"/>
      <c r="F121" s="68"/>
      <c r="G121" s="69"/>
      <c r="H121" s="69"/>
      <c r="I121" s="70"/>
    </row>
    <row r="122" spans="2:9" x14ac:dyDescent="0.25">
      <c r="B122" s="67"/>
      <c r="C122" s="68"/>
      <c r="D122" s="68"/>
      <c r="E122" s="68"/>
      <c r="F122" s="68"/>
      <c r="G122" s="69"/>
      <c r="H122" s="69"/>
      <c r="I122" s="70"/>
    </row>
    <row r="123" spans="2:9" x14ac:dyDescent="0.25">
      <c r="B123" s="67"/>
      <c r="C123" s="68"/>
      <c r="D123" s="68"/>
      <c r="E123" s="68"/>
      <c r="F123" s="68"/>
      <c r="G123" s="69"/>
      <c r="H123" s="69"/>
      <c r="I123" s="70"/>
    </row>
    <row r="124" spans="2:9" x14ac:dyDescent="0.25">
      <c r="B124" s="67"/>
      <c r="C124" s="68"/>
      <c r="D124" s="68"/>
      <c r="E124" s="68"/>
      <c r="F124" s="68"/>
      <c r="G124" s="69"/>
      <c r="H124" s="69"/>
      <c r="I124" s="70"/>
    </row>
    <row r="125" spans="2:9" x14ac:dyDescent="0.25">
      <c r="B125" s="67"/>
      <c r="C125" s="68"/>
      <c r="D125" s="68"/>
      <c r="E125" s="68"/>
      <c r="F125" s="68"/>
      <c r="G125" s="69"/>
      <c r="H125" s="69"/>
      <c r="I125" s="70"/>
    </row>
    <row r="126" spans="2:9" x14ac:dyDescent="0.25">
      <c r="B126" s="67"/>
      <c r="C126" s="68"/>
      <c r="D126" s="68"/>
      <c r="E126" s="68"/>
      <c r="F126" s="68"/>
      <c r="G126" s="69"/>
      <c r="H126" s="69"/>
      <c r="I126" s="70"/>
    </row>
    <row r="127" spans="2:9" x14ac:dyDescent="0.25">
      <c r="B127" s="67"/>
      <c r="C127" s="68"/>
      <c r="D127" s="68"/>
      <c r="E127" s="68"/>
      <c r="F127" s="68"/>
      <c r="G127" s="69"/>
      <c r="H127" s="69"/>
      <c r="I127" s="70"/>
    </row>
    <row r="128" spans="2:9" x14ac:dyDescent="0.25">
      <c r="B128" s="67"/>
      <c r="C128" s="68"/>
      <c r="D128" s="68"/>
      <c r="E128" s="68"/>
      <c r="F128" s="68"/>
      <c r="G128" s="69"/>
      <c r="H128" s="69"/>
      <c r="I128" s="70"/>
    </row>
    <row r="129" spans="2:9" x14ac:dyDescent="0.25">
      <c r="B129" s="67"/>
      <c r="C129" s="68"/>
      <c r="D129" s="68"/>
      <c r="E129" s="68"/>
      <c r="F129" s="68"/>
      <c r="G129" s="69"/>
      <c r="H129" s="69"/>
      <c r="I129" s="70"/>
    </row>
    <row r="130" spans="2:9" x14ac:dyDescent="0.25">
      <c r="B130" s="67"/>
      <c r="C130" s="68"/>
      <c r="D130" s="68"/>
      <c r="E130" s="68"/>
      <c r="F130" s="68"/>
      <c r="G130" s="69"/>
      <c r="H130" s="69"/>
      <c r="I130" s="70"/>
    </row>
    <row r="131" spans="2:9" x14ac:dyDescent="0.25">
      <c r="B131" s="67"/>
      <c r="C131" s="68"/>
      <c r="D131" s="68"/>
      <c r="E131" s="68"/>
      <c r="F131" s="68"/>
      <c r="G131" s="69"/>
      <c r="H131" s="69"/>
      <c r="I131" s="70"/>
    </row>
    <row r="132" spans="2:9" x14ac:dyDescent="0.25">
      <c r="B132" s="67"/>
      <c r="C132" s="68"/>
      <c r="D132" s="68"/>
      <c r="E132" s="68"/>
      <c r="F132" s="68"/>
      <c r="G132" s="69"/>
      <c r="H132" s="69"/>
      <c r="I132" s="70"/>
    </row>
    <row r="133" spans="2:9" x14ac:dyDescent="0.25">
      <c r="B133" s="67"/>
      <c r="C133" s="68"/>
      <c r="D133" s="68"/>
      <c r="E133" s="68"/>
      <c r="F133" s="68"/>
      <c r="G133" s="69"/>
      <c r="H133" s="69"/>
      <c r="I133" s="70"/>
    </row>
    <row r="134" spans="2:9" x14ac:dyDescent="0.25">
      <c r="B134" s="67"/>
      <c r="C134" s="68"/>
      <c r="D134" s="68"/>
      <c r="E134" s="68"/>
      <c r="F134" s="68"/>
      <c r="G134" s="69"/>
      <c r="H134" s="69"/>
      <c r="I134" s="70"/>
    </row>
    <row r="135" spans="2:9" x14ac:dyDescent="0.25">
      <c r="B135" s="67"/>
      <c r="C135" s="68"/>
      <c r="D135" s="68"/>
      <c r="E135" s="68"/>
      <c r="F135" s="68"/>
      <c r="G135" s="69"/>
      <c r="H135" s="69"/>
      <c r="I135" s="70"/>
    </row>
    <row r="136" spans="2:9" x14ac:dyDescent="0.25">
      <c r="B136" s="67"/>
      <c r="C136" s="68"/>
      <c r="D136" s="68"/>
      <c r="E136" s="68"/>
      <c r="F136" s="68"/>
      <c r="G136" s="69"/>
      <c r="H136" s="69"/>
      <c r="I136" s="70"/>
    </row>
    <row r="137" spans="2:9" x14ac:dyDescent="0.25">
      <c r="B137" s="67"/>
      <c r="C137" s="68"/>
      <c r="D137" s="68"/>
      <c r="E137" s="68"/>
      <c r="F137" s="68"/>
      <c r="G137" s="69"/>
      <c r="H137" s="69"/>
      <c r="I137" s="70"/>
    </row>
    <row r="138" spans="2:9" x14ac:dyDescent="0.25">
      <c r="B138" s="67"/>
      <c r="C138" s="68"/>
      <c r="D138" s="68"/>
      <c r="E138" s="68"/>
      <c r="F138" s="68"/>
      <c r="G138" s="69"/>
      <c r="H138" s="69"/>
      <c r="I138" s="70"/>
    </row>
    <row r="139" spans="2:9" x14ac:dyDescent="0.25">
      <c r="B139" s="67"/>
      <c r="C139" s="68"/>
      <c r="D139" s="68"/>
      <c r="E139" s="68"/>
      <c r="F139" s="68"/>
      <c r="G139" s="69"/>
      <c r="H139" s="69"/>
      <c r="I139" s="70"/>
    </row>
    <row r="140" spans="2:9" x14ac:dyDescent="0.25">
      <c r="B140" s="67"/>
      <c r="C140" s="68"/>
      <c r="D140" s="68"/>
      <c r="E140" s="68"/>
      <c r="F140" s="68"/>
      <c r="G140" s="69"/>
      <c r="H140" s="69"/>
      <c r="I140" s="70"/>
    </row>
    <row r="141" spans="2:9" x14ac:dyDescent="0.25">
      <c r="B141" s="67"/>
      <c r="C141" s="68"/>
      <c r="D141" s="68"/>
      <c r="E141" s="68"/>
      <c r="F141" s="68"/>
      <c r="G141" s="69"/>
      <c r="H141" s="69"/>
      <c r="I141" s="70"/>
    </row>
    <row r="142" spans="2:9" x14ac:dyDescent="0.25">
      <c r="B142" s="67"/>
      <c r="C142" s="68"/>
      <c r="D142" s="68"/>
      <c r="E142" s="68"/>
      <c r="F142" s="68"/>
      <c r="G142" s="69"/>
      <c r="H142" s="69"/>
      <c r="I142" s="70"/>
    </row>
    <row r="143" spans="2:9" x14ac:dyDescent="0.25">
      <c r="B143" s="67"/>
      <c r="C143" s="68"/>
      <c r="D143" s="68"/>
      <c r="E143" s="68"/>
      <c r="F143" s="68"/>
      <c r="G143" s="69"/>
      <c r="H143" s="69"/>
      <c r="I143" s="70"/>
    </row>
    <row r="144" spans="2:9" x14ac:dyDescent="0.25">
      <c r="B144" s="67"/>
      <c r="C144" s="68"/>
      <c r="D144" s="68"/>
      <c r="E144" s="68"/>
      <c r="F144" s="68"/>
      <c r="G144" s="69"/>
      <c r="H144" s="69"/>
      <c r="I144" s="70"/>
    </row>
    <row r="145" spans="2:9" x14ac:dyDescent="0.25">
      <c r="B145" s="67"/>
      <c r="C145" s="68"/>
      <c r="D145" s="68"/>
      <c r="E145" s="68"/>
      <c r="F145" s="68"/>
      <c r="G145" s="69"/>
      <c r="H145" s="69"/>
      <c r="I145" s="70"/>
    </row>
    <row r="146" spans="2:9" x14ac:dyDescent="0.25">
      <c r="B146" s="67"/>
      <c r="C146" s="68"/>
      <c r="D146" s="68"/>
      <c r="E146" s="68"/>
      <c r="F146" s="68"/>
      <c r="G146" s="69"/>
      <c r="H146" s="69"/>
      <c r="I146" s="70"/>
    </row>
    <row r="147" spans="2:9" x14ac:dyDescent="0.25">
      <c r="B147" s="67"/>
      <c r="C147" s="68"/>
      <c r="D147" s="68"/>
      <c r="E147" s="68"/>
      <c r="F147" s="68"/>
      <c r="G147" s="69"/>
      <c r="H147" s="69"/>
      <c r="I147" s="70"/>
    </row>
    <row r="148" spans="2:9" x14ac:dyDescent="0.25">
      <c r="B148" s="67"/>
      <c r="C148" s="68"/>
      <c r="D148" s="68"/>
      <c r="E148" s="68"/>
      <c r="F148" s="68"/>
      <c r="G148" s="69"/>
      <c r="H148" s="69"/>
      <c r="I148" s="70"/>
    </row>
    <row r="149" spans="2:9" x14ac:dyDescent="0.25">
      <c r="B149" s="67"/>
      <c r="C149" s="68"/>
      <c r="D149" s="68"/>
      <c r="E149" s="68"/>
      <c r="F149" s="68"/>
      <c r="G149" s="69"/>
      <c r="H149" s="69"/>
      <c r="I149" s="70"/>
    </row>
    <row r="150" spans="2:9" x14ac:dyDescent="0.25">
      <c r="B150" s="67"/>
      <c r="C150" s="68"/>
      <c r="D150" s="68"/>
      <c r="E150" s="68"/>
      <c r="F150" s="68"/>
      <c r="G150" s="69"/>
      <c r="H150" s="69"/>
      <c r="I150" s="70"/>
    </row>
    <row r="151" spans="2:9" x14ac:dyDescent="0.25">
      <c r="B151" s="67"/>
      <c r="C151" s="68"/>
      <c r="D151" s="68"/>
      <c r="E151" s="68"/>
      <c r="F151" s="68"/>
      <c r="G151" s="69"/>
      <c r="H151" s="69"/>
      <c r="I151" s="70"/>
    </row>
    <row r="152" spans="2:9" x14ac:dyDescent="0.25">
      <c r="B152" s="67"/>
      <c r="C152" s="68"/>
      <c r="D152" s="68"/>
      <c r="E152" s="68"/>
      <c r="F152" s="68"/>
      <c r="G152" s="69"/>
      <c r="H152" s="69"/>
      <c r="I152" s="70"/>
    </row>
    <row r="153" spans="2:9" x14ac:dyDescent="0.25">
      <c r="B153" s="67"/>
      <c r="C153" s="68"/>
      <c r="D153" s="68"/>
      <c r="E153" s="68"/>
      <c r="F153" s="68"/>
      <c r="G153" s="69"/>
      <c r="H153" s="69"/>
      <c r="I153" s="70"/>
    </row>
    <row r="154" spans="2:9" x14ac:dyDescent="0.25">
      <c r="B154" s="67"/>
      <c r="C154" s="68"/>
      <c r="D154" s="68"/>
      <c r="E154" s="68"/>
      <c r="F154" s="68"/>
      <c r="G154" s="69"/>
      <c r="H154" s="69"/>
      <c r="I154" s="70"/>
    </row>
    <row r="155" spans="2:9" x14ac:dyDescent="0.25">
      <c r="B155" s="67"/>
      <c r="C155" s="68"/>
      <c r="D155" s="68"/>
      <c r="E155" s="68"/>
      <c r="F155" s="68"/>
      <c r="G155" s="69"/>
      <c r="H155" s="69"/>
      <c r="I155" s="70"/>
    </row>
    <row r="156" spans="2:9" x14ac:dyDescent="0.25">
      <c r="B156" s="67"/>
      <c r="C156" s="68"/>
      <c r="D156" s="68"/>
      <c r="E156" s="68"/>
      <c r="F156" s="68"/>
      <c r="G156" s="69"/>
      <c r="H156" s="69"/>
      <c r="I156" s="70"/>
    </row>
    <row r="157" spans="2:9" x14ac:dyDescent="0.25">
      <c r="B157" s="67"/>
      <c r="C157" s="68"/>
      <c r="D157" s="68"/>
      <c r="E157" s="68"/>
      <c r="F157" s="68"/>
      <c r="G157" s="69"/>
      <c r="H157" s="69"/>
      <c r="I157" s="70"/>
    </row>
    <row r="158" spans="2:9" x14ac:dyDescent="0.25">
      <c r="B158" s="67"/>
      <c r="C158" s="68"/>
      <c r="D158" s="68"/>
      <c r="E158" s="68"/>
      <c r="F158" s="68"/>
      <c r="G158" s="69"/>
      <c r="H158" s="69"/>
      <c r="I158" s="70"/>
    </row>
    <row r="159" spans="2:9" x14ac:dyDescent="0.25">
      <c r="B159" s="67"/>
      <c r="C159" s="68"/>
      <c r="D159" s="68"/>
      <c r="E159" s="68"/>
      <c r="F159" s="68"/>
      <c r="G159" s="69"/>
      <c r="H159" s="69"/>
      <c r="I159" s="70"/>
    </row>
    <row r="160" spans="2:9" x14ac:dyDescent="0.25">
      <c r="B160" s="67"/>
      <c r="C160" s="68"/>
      <c r="D160" s="68"/>
      <c r="E160" s="68"/>
      <c r="F160" s="68"/>
      <c r="G160" s="69"/>
      <c r="H160" s="69"/>
      <c r="I160" s="70"/>
    </row>
    <row r="161" spans="2:9" x14ac:dyDescent="0.25">
      <c r="B161" s="67"/>
      <c r="C161" s="68"/>
      <c r="D161" s="68"/>
      <c r="E161" s="68"/>
      <c r="F161" s="68"/>
      <c r="G161" s="69"/>
      <c r="H161" s="69"/>
      <c r="I161" s="70"/>
    </row>
    <row r="162" spans="2:9" x14ac:dyDescent="0.25">
      <c r="B162" s="67"/>
      <c r="C162" s="68"/>
      <c r="D162" s="68"/>
      <c r="E162" s="68"/>
      <c r="F162" s="68"/>
      <c r="G162" s="69"/>
      <c r="H162" s="69"/>
      <c r="I162" s="70"/>
    </row>
    <row r="163" spans="2:9" x14ac:dyDescent="0.25">
      <c r="B163" s="67"/>
      <c r="C163" s="68"/>
      <c r="D163" s="68"/>
      <c r="E163" s="68"/>
      <c r="F163" s="68"/>
      <c r="G163" s="69"/>
      <c r="H163" s="69"/>
      <c r="I163" s="70"/>
    </row>
    <row r="164" spans="2:9" x14ac:dyDescent="0.25">
      <c r="B164" s="67"/>
      <c r="C164" s="68"/>
      <c r="D164" s="68"/>
      <c r="E164" s="68"/>
      <c r="F164" s="68"/>
      <c r="G164" s="69"/>
      <c r="H164" s="69"/>
      <c r="I164" s="70"/>
    </row>
    <row r="165" spans="2:9" x14ac:dyDescent="0.25">
      <c r="B165" s="67"/>
      <c r="C165" s="68"/>
      <c r="D165" s="68"/>
      <c r="E165" s="68"/>
      <c r="F165" s="68"/>
      <c r="G165" s="69"/>
      <c r="H165" s="69"/>
      <c r="I165" s="70"/>
    </row>
    <row r="166" spans="2:9" x14ac:dyDescent="0.25">
      <c r="B166" s="67"/>
      <c r="C166" s="68"/>
      <c r="D166" s="68"/>
      <c r="E166" s="68"/>
      <c r="F166" s="68"/>
      <c r="G166" s="69"/>
      <c r="H166" s="69"/>
      <c r="I166" s="70"/>
    </row>
    <row r="167" spans="2:9" x14ac:dyDescent="0.25">
      <c r="B167" s="67"/>
      <c r="C167" s="68"/>
      <c r="D167" s="68"/>
      <c r="E167" s="68"/>
      <c r="F167" s="68"/>
      <c r="G167" s="69"/>
      <c r="H167" s="69"/>
      <c r="I167" s="70"/>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DB"/>
  <dimension ref="A1:BB194"/>
  <sheetViews>
    <sheetView workbookViewId="0">
      <selection activeCell="A2" sqref="A2"/>
    </sheetView>
  </sheetViews>
  <sheetFormatPr defaultRowHeight="15" x14ac:dyDescent="0.25"/>
  <cols>
    <col min="1" max="1" width="20.5703125" bestFit="1" customWidth="1"/>
    <col min="2" max="2" width="37.42578125" customWidth="1"/>
    <col min="3" max="3" width="9.140625" customWidth="1"/>
    <col min="4" max="4" width="16.5703125" customWidth="1"/>
    <col min="5" max="5" width="13.28515625" bestFit="1" customWidth="1"/>
    <col min="7" max="7" width="24.85546875" bestFit="1" customWidth="1"/>
    <col min="8" max="8" width="13.5703125" bestFit="1" customWidth="1"/>
    <col min="9" max="9" width="14.140625" bestFit="1" customWidth="1"/>
    <col min="10" max="10" width="19.28515625" bestFit="1" customWidth="1"/>
    <col min="11" max="11" width="10.140625" bestFit="1" customWidth="1"/>
    <col min="12" max="12" width="17.85546875" bestFit="1" customWidth="1"/>
    <col min="13" max="13" width="23.140625" customWidth="1"/>
    <col min="14" max="14" width="15.42578125" bestFit="1" customWidth="1"/>
    <col min="15" max="15" width="12" bestFit="1" customWidth="1"/>
    <col min="16" max="16" width="13.42578125" bestFit="1" customWidth="1"/>
    <col min="17" max="18" width="9.140625" customWidth="1"/>
    <col min="19" max="19" width="20.7109375" customWidth="1"/>
    <col min="20" max="20" width="13" customWidth="1"/>
    <col min="21" max="21" width="14.5703125" customWidth="1"/>
    <col min="23" max="24" width="24.42578125" bestFit="1" customWidth="1"/>
    <col min="25" max="25" width="21.42578125" customWidth="1"/>
    <col min="26" max="26" width="18" bestFit="1" customWidth="1"/>
    <col min="27" max="28" width="23.7109375" bestFit="1" customWidth="1"/>
    <col min="29" max="29" width="20.5703125" customWidth="1"/>
    <col min="30" max="30" width="23.7109375" bestFit="1" customWidth="1"/>
    <col min="31" max="31" width="17" bestFit="1" customWidth="1"/>
    <col min="32" max="32" width="14.140625" bestFit="1" customWidth="1"/>
    <col min="33" max="33" width="14.140625" customWidth="1"/>
    <col min="34" max="34" width="13.5703125" customWidth="1"/>
    <col min="35" max="35" width="23.85546875" bestFit="1" customWidth="1"/>
    <col min="36" max="36" width="36.5703125" bestFit="1" customWidth="1"/>
    <col min="38" max="38" width="11.7109375" bestFit="1" customWidth="1"/>
    <col min="39" max="39" width="38.140625" bestFit="1" customWidth="1"/>
    <col min="40" max="40" width="52" bestFit="1" customWidth="1"/>
    <col min="41" max="41" width="23.5703125" bestFit="1" customWidth="1"/>
    <col min="42" max="42" width="9.140625" customWidth="1"/>
    <col min="43" max="43" width="28.140625" customWidth="1"/>
    <col min="44" max="44" width="17.7109375" customWidth="1"/>
    <col min="45" max="45" width="23.7109375" customWidth="1"/>
    <col min="46" max="46" width="9.7109375" customWidth="1"/>
    <col min="47" max="47" width="13.28515625" bestFit="1" customWidth="1"/>
    <col min="48" max="48" width="22.85546875" bestFit="1" customWidth="1"/>
    <col min="49" max="49" width="12.5703125" bestFit="1" customWidth="1"/>
    <col min="50" max="50" width="11.28515625" bestFit="1" customWidth="1"/>
    <col min="51" max="51" width="8.42578125" bestFit="1" customWidth="1"/>
    <col min="52" max="52" width="11.28515625" customWidth="1"/>
    <col min="54" max="54" width="14.140625" customWidth="1"/>
  </cols>
  <sheetData>
    <row r="1" spans="1:54" ht="24" customHeight="1" x14ac:dyDescent="0.4">
      <c r="A1" s="5" t="s">
        <v>882</v>
      </c>
      <c r="AJ1" t="s">
        <v>78</v>
      </c>
      <c r="AO1" t="s">
        <v>66</v>
      </c>
      <c r="AR1" s="7"/>
    </row>
    <row r="2" spans="1:54" x14ac:dyDescent="0.25">
      <c r="A2" s="8" t="s">
        <v>61</v>
      </c>
      <c r="B2" s="8" t="s">
        <v>899</v>
      </c>
      <c r="C2" s="7"/>
      <c r="D2" s="3" t="s">
        <v>900</v>
      </c>
      <c r="E2" s="3" t="s">
        <v>6</v>
      </c>
      <c r="F2" s="7"/>
      <c r="G2" s="8" t="s">
        <v>897</v>
      </c>
      <c r="H2" s="8" t="s">
        <v>896</v>
      </c>
      <c r="I2" s="8" t="s">
        <v>911</v>
      </c>
      <c r="J2" s="8" t="s">
        <v>951</v>
      </c>
      <c r="K2" s="8" t="s">
        <v>950</v>
      </c>
      <c r="L2" s="8" t="s">
        <v>894</v>
      </c>
      <c r="M2" s="8" t="s">
        <v>903</v>
      </c>
      <c r="N2" s="8" t="s">
        <v>902</v>
      </c>
      <c r="O2" s="8" t="s">
        <v>881</v>
      </c>
      <c r="P2" s="8" t="s">
        <v>895</v>
      </c>
      <c r="Q2" s="8" t="s">
        <v>1179</v>
      </c>
      <c r="R2" s="7"/>
      <c r="S2" s="3" t="s">
        <v>901</v>
      </c>
      <c r="T2" s="3" t="s">
        <v>7</v>
      </c>
      <c r="U2" s="3" t="s">
        <v>1181</v>
      </c>
      <c r="V2" s="7"/>
      <c r="W2" s="8" t="s">
        <v>891</v>
      </c>
      <c r="X2" s="3" t="s">
        <v>9</v>
      </c>
      <c r="Y2" s="8" t="s">
        <v>12</v>
      </c>
      <c r="Z2" s="3" t="s">
        <v>11</v>
      </c>
      <c r="AA2" s="8" t="s">
        <v>889</v>
      </c>
      <c r="AB2" s="3" t="s">
        <v>890</v>
      </c>
      <c r="AC2" s="8" t="s">
        <v>892</v>
      </c>
      <c r="AD2" s="3" t="s">
        <v>893</v>
      </c>
      <c r="AE2" s="8" t="s">
        <v>10</v>
      </c>
      <c r="AF2" s="3" t="s">
        <v>121</v>
      </c>
      <c r="AG2" s="8" t="s">
        <v>910</v>
      </c>
      <c r="AH2" s="3" t="s">
        <v>58</v>
      </c>
      <c r="AI2" s="8" t="s">
        <v>8</v>
      </c>
      <c r="AJ2" s="9" t="s">
        <v>114</v>
      </c>
      <c r="AK2" s="7"/>
      <c r="AL2" s="9" t="s">
        <v>116</v>
      </c>
      <c r="AM2" s="9" t="s">
        <v>915</v>
      </c>
      <c r="AN2" s="9" t="s">
        <v>916</v>
      </c>
      <c r="AO2" s="9" t="s">
        <v>115</v>
      </c>
      <c r="AQ2" s="10" t="s">
        <v>994</v>
      </c>
      <c r="AR2" s="10" t="s">
        <v>894</v>
      </c>
      <c r="AS2" s="10" t="s">
        <v>60</v>
      </c>
      <c r="AU2" s="10" t="s">
        <v>994</v>
      </c>
      <c r="AV2" s="10" t="s">
        <v>1001</v>
      </c>
      <c r="AW2" s="10" t="s">
        <v>1000</v>
      </c>
      <c r="AX2" s="10" t="s">
        <v>997</v>
      </c>
      <c r="AY2" s="10" t="s">
        <v>998</v>
      </c>
      <c r="AZ2" s="10" t="s">
        <v>999</v>
      </c>
      <c r="BB2" s="6" t="s">
        <v>1005</v>
      </c>
    </row>
    <row r="3" spans="1:54" ht="15" customHeight="1" x14ac:dyDescent="0.25">
      <c r="A3" t="s">
        <v>59</v>
      </c>
      <c r="B3" t="s">
        <v>1127</v>
      </c>
      <c r="C3" s="1"/>
      <c r="D3" t="s">
        <v>1128</v>
      </c>
      <c r="E3">
        <v>10</v>
      </c>
      <c r="F3" s="2"/>
      <c r="G3" t="s">
        <v>1187</v>
      </c>
      <c r="H3">
        <v>200</v>
      </c>
      <c r="I3">
        <v>0</v>
      </c>
      <c r="L3" t="s">
        <v>1134</v>
      </c>
      <c r="M3" s="76" t="s">
        <v>1176</v>
      </c>
      <c r="O3">
        <v>284001</v>
      </c>
      <c r="P3">
        <v>1</v>
      </c>
      <c r="S3" t="s">
        <v>1188</v>
      </c>
      <c r="T3" t="s">
        <v>1123</v>
      </c>
      <c r="W3" t="s">
        <v>31</v>
      </c>
      <c r="X3" t="s">
        <v>31</v>
      </c>
      <c r="Y3" t="s">
        <v>38</v>
      </c>
      <c r="Z3" t="s">
        <v>39</v>
      </c>
      <c r="AA3" t="s">
        <v>1139</v>
      </c>
      <c r="AB3" t="s">
        <v>1139</v>
      </c>
      <c r="AC3" t="s">
        <v>38</v>
      </c>
      <c r="AD3" t="s">
        <v>1139</v>
      </c>
      <c r="AE3" t="s">
        <v>31</v>
      </c>
      <c r="AF3" t="s">
        <v>31</v>
      </c>
      <c r="AG3" t="s">
        <v>33</v>
      </c>
      <c r="AH3" t="s">
        <v>1170</v>
      </c>
      <c r="AI3" t="s">
        <v>31</v>
      </c>
      <c r="AJ3" t="s">
        <v>79</v>
      </c>
      <c r="AL3" t="s">
        <v>62</v>
      </c>
      <c r="AM3" t="s">
        <v>917</v>
      </c>
      <c r="AN3" t="s">
        <v>935</v>
      </c>
      <c r="AO3" t="s">
        <v>67</v>
      </c>
      <c r="AU3" t="s">
        <v>1003</v>
      </c>
      <c r="AV3" s="1" t="s">
        <v>1002</v>
      </c>
      <c r="AW3" t="s">
        <v>1031</v>
      </c>
      <c r="AX3">
        <v>2</v>
      </c>
      <c r="AY3">
        <v>20</v>
      </c>
      <c r="AZ3" t="s">
        <v>1034</v>
      </c>
      <c r="BB3" s="27" t="str">
        <f>"SELECT Company.$Name, Company.$IsBillWiseOn, Company.$IsInventoryOn, Company.$IsBatchWiseOn, Company.$_Address1+'@$^'+Company.$_Address2+'@$^'+Company.$_Address3+'@$^'+Company.$_Address4+'@$^'+Company.$_Address5+'@$^'+Company.$EMail,"&amp;"IF Company.$StateName='_x0004_ Not Applicable' THEN '' ELSE Company.$StateName, Company.$PinCode, Company.$CountryName, Company.$IsGSTOn FROM Company WHERE Company.$Name='MyCompanyName'"</f>
        <v>SELECT Company.$Name, Company.$IsBillWiseOn, Company.$IsInventoryOn, Company.$IsBatchWiseOn, Company.$_Address1+'@$^'+Company.$_Address2+'@$^'+Company.$_Address3+'@$^'+Company.$_Address4+'@$^'+Company.$_Address5+'@$^'+Company.$EMail,IF Company.$StateName='_x0004_ Not Applicable' THEN '' ELSE Company.$StateName, Company.$PinCode, Company.$CountryName, Company.$IsGSTOn FROM Company WHERE Company.$Name='MyCompanyName'</v>
      </c>
    </row>
    <row r="4" spans="1:54" ht="15" customHeight="1" x14ac:dyDescent="0.25">
      <c r="A4" t="s">
        <v>883</v>
      </c>
      <c r="B4">
        <v>1</v>
      </c>
      <c r="C4" s="1"/>
      <c r="D4" t="s">
        <v>27</v>
      </c>
      <c r="E4">
        <v>10</v>
      </c>
      <c r="F4" s="2"/>
      <c r="G4" t="s">
        <v>31</v>
      </c>
      <c r="H4">
        <v>220</v>
      </c>
      <c r="I4">
        <v>0</v>
      </c>
      <c r="J4" t="s">
        <v>1129</v>
      </c>
      <c r="K4" t="s">
        <v>1129</v>
      </c>
      <c r="M4" t="s">
        <v>1173</v>
      </c>
      <c r="O4" t="s">
        <v>1130</v>
      </c>
      <c r="P4">
        <v>0</v>
      </c>
      <c r="S4" t="s">
        <v>1029</v>
      </c>
      <c r="T4" t="s">
        <v>1123</v>
      </c>
      <c r="W4" t="s">
        <v>1131</v>
      </c>
      <c r="X4" t="s">
        <v>1131</v>
      </c>
      <c r="Y4" t="s">
        <v>41</v>
      </c>
      <c r="Z4" t="s">
        <v>1155</v>
      </c>
      <c r="AA4" t="s">
        <v>1025</v>
      </c>
      <c r="AB4" t="s">
        <v>1025</v>
      </c>
      <c r="AC4" t="s">
        <v>41</v>
      </c>
      <c r="AD4" t="s">
        <v>1025</v>
      </c>
      <c r="AE4" t="s">
        <v>1131</v>
      </c>
      <c r="AF4" t="s">
        <v>1131</v>
      </c>
      <c r="AG4" t="s">
        <v>1132</v>
      </c>
      <c r="AH4" t="s">
        <v>24</v>
      </c>
      <c r="AI4" t="s">
        <v>32</v>
      </c>
      <c r="AJ4" t="s">
        <v>80</v>
      </c>
      <c r="AL4" t="s">
        <v>63</v>
      </c>
      <c r="AM4" t="s">
        <v>918</v>
      </c>
      <c r="AN4" t="s">
        <v>923</v>
      </c>
      <c r="AO4" t="s">
        <v>68</v>
      </c>
      <c r="AV4" s="1"/>
      <c r="BB4" s="27" t="s">
        <v>1105</v>
      </c>
    </row>
    <row r="5" spans="1:54" x14ac:dyDescent="0.25">
      <c r="A5" t="s">
        <v>884</v>
      </c>
      <c r="B5">
        <v>1</v>
      </c>
      <c r="C5" s="1"/>
      <c r="D5" t="s">
        <v>28</v>
      </c>
      <c r="E5">
        <v>20</v>
      </c>
      <c r="F5" s="2"/>
      <c r="G5" t="s">
        <v>1131</v>
      </c>
      <c r="H5">
        <v>110</v>
      </c>
      <c r="I5">
        <v>0</v>
      </c>
      <c r="J5" t="s">
        <v>1129</v>
      </c>
      <c r="K5" t="s">
        <v>1129</v>
      </c>
      <c r="M5" t="s">
        <v>1006</v>
      </c>
      <c r="P5">
        <v>0</v>
      </c>
      <c r="S5" t="s">
        <v>1030</v>
      </c>
      <c r="T5" t="s">
        <v>1123</v>
      </c>
      <c r="W5" t="s">
        <v>33</v>
      </c>
      <c r="X5" t="s">
        <v>33</v>
      </c>
      <c r="Y5" t="s">
        <v>48</v>
      </c>
      <c r="Z5" t="s">
        <v>1156</v>
      </c>
      <c r="AA5" t="s">
        <v>1140</v>
      </c>
      <c r="AB5" t="s">
        <v>1140</v>
      </c>
      <c r="AC5" t="s">
        <v>43</v>
      </c>
      <c r="AD5" t="s">
        <v>1140</v>
      </c>
      <c r="AE5" t="s">
        <v>57</v>
      </c>
      <c r="AG5" t="s">
        <v>1028</v>
      </c>
      <c r="AI5" t="s">
        <v>33</v>
      </c>
      <c r="AJ5" t="s">
        <v>81</v>
      </c>
      <c r="AL5" t="s">
        <v>64</v>
      </c>
      <c r="AM5" t="s">
        <v>919</v>
      </c>
      <c r="AN5" t="s">
        <v>924</v>
      </c>
      <c r="AO5" t="s">
        <v>69</v>
      </c>
      <c r="AV5" s="1"/>
      <c r="BB5" s="27" t="s">
        <v>1182</v>
      </c>
    </row>
    <row r="6" spans="1:54" x14ac:dyDescent="0.25">
      <c r="A6" t="s">
        <v>885</v>
      </c>
      <c r="B6">
        <v>1</v>
      </c>
      <c r="C6" s="1"/>
      <c r="D6" t="s">
        <v>29</v>
      </c>
      <c r="E6">
        <v>30</v>
      </c>
      <c r="F6" s="2"/>
      <c r="G6" t="s">
        <v>33</v>
      </c>
      <c r="H6">
        <v>70</v>
      </c>
      <c r="I6">
        <v>0</v>
      </c>
      <c r="M6" t="s">
        <v>1174</v>
      </c>
      <c r="O6" t="s">
        <v>120</v>
      </c>
      <c r="P6">
        <v>0</v>
      </c>
      <c r="S6" t="s">
        <v>1168</v>
      </c>
      <c r="T6" t="s">
        <v>1123</v>
      </c>
      <c r="W6" t="s">
        <v>1132</v>
      </c>
      <c r="X6" t="s">
        <v>1132</v>
      </c>
      <c r="Y6" t="s">
        <v>1148</v>
      </c>
      <c r="Z6" t="s">
        <v>1157</v>
      </c>
      <c r="AA6" t="s">
        <v>1141</v>
      </c>
      <c r="AB6" t="s">
        <v>1141</v>
      </c>
      <c r="AC6" t="s">
        <v>48</v>
      </c>
      <c r="AD6" t="s">
        <v>1141</v>
      </c>
      <c r="AE6" t="s">
        <v>1138</v>
      </c>
      <c r="AG6" t="s">
        <v>1136</v>
      </c>
      <c r="AI6" t="s">
        <v>34</v>
      </c>
      <c r="AJ6" t="s">
        <v>82</v>
      </c>
      <c r="AL6" t="s">
        <v>65</v>
      </c>
      <c r="AM6" t="s">
        <v>920</v>
      </c>
      <c r="AN6" t="s">
        <v>941</v>
      </c>
      <c r="AO6" t="s">
        <v>70</v>
      </c>
      <c r="AV6" s="1"/>
      <c r="BB6" t="s">
        <v>1180</v>
      </c>
    </row>
    <row r="7" spans="1:54" x14ac:dyDescent="0.25">
      <c r="A7" t="s">
        <v>904</v>
      </c>
      <c r="B7" t="s">
        <v>1172</v>
      </c>
      <c r="C7" s="1"/>
      <c r="D7" t="s">
        <v>5</v>
      </c>
      <c r="E7">
        <v>40</v>
      </c>
      <c r="F7" s="2"/>
      <c r="G7" t="s">
        <v>1132</v>
      </c>
      <c r="H7">
        <v>200</v>
      </c>
      <c r="I7">
        <v>0</v>
      </c>
      <c r="L7" t="s">
        <v>1133</v>
      </c>
      <c r="M7" t="s">
        <v>1175</v>
      </c>
      <c r="O7" t="s">
        <v>120</v>
      </c>
      <c r="P7">
        <v>1</v>
      </c>
      <c r="S7" t="s">
        <v>1169</v>
      </c>
      <c r="T7" t="s">
        <v>1171</v>
      </c>
      <c r="W7" t="s">
        <v>1028</v>
      </c>
      <c r="X7" t="s">
        <v>1028</v>
      </c>
      <c r="Y7" t="s">
        <v>1149</v>
      </c>
      <c r="Z7" t="s">
        <v>1122</v>
      </c>
      <c r="AA7" t="s">
        <v>35</v>
      </c>
      <c r="AB7" t="s">
        <v>35</v>
      </c>
      <c r="AC7" t="s">
        <v>1148</v>
      </c>
      <c r="AD7" t="s">
        <v>35</v>
      </c>
      <c r="AG7" t="s">
        <v>1163</v>
      </c>
      <c r="AI7" t="s">
        <v>1026</v>
      </c>
      <c r="AJ7" t="s">
        <v>83</v>
      </c>
      <c r="AM7" t="s">
        <v>921</v>
      </c>
      <c r="AN7" t="s">
        <v>942</v>
      </c>
      <c r="AO7" t="s">
        <v>71</v>
      </c>
      <c r="AV7" s="1"/>
      <c r="BB7" t="s">
        <v>1107</v>
      </c>
    </row>
    <row r="8" spans="1:54" x14ac:dyDescent="0.25">
      <c r="A8" t="s">
        <v>1077</v>
      </c>
      <c r="B8" t="s">
        <v>25</v>
      </c>
      <c r="C8" s="1"/>
      <c r="D8" t="s">
        <v>118</v>
      </c>
      <c r="E8">
        <v>50</v>
      </c>
      <c r="F8" s="2"/>
      <c r="G8" t="s">
        <v>1028</v>
      </c>
      <c r="H8">
        <v>200</v>
      </c>
      <c r="I8">
        <v>0</v>
      </c>
      <c r="L8" t="s">
        <v>1134</v>
      </c>
      <c r="M8" t="s">
        <v>1176</v>
      </c>
      <c r="O8" t="s">
        <v>1135</v>
      </c>
      <c r="P8">
        <v>1</v>
      </c>
      <c r="W8" t="s">
        <v>1136</v>
      </c>
      <c r="X8" t="s">
        <v>1136</v>
      </c>
      <c r="Y8" t="s">
        <v>1150</v>
      </c>
      <c r="Z8" t="s">
        <v>1035</v>
      </c>
      <c r="AA8" t="s">
        <v>36</v>
      </c>
      <c r="AB8" t="s">
        <v>36</v>
      </c>
      <c r="AC8" t="s">
        <v>1149</v>
      </c>
      <c r="AD8" t="s">
        <v>36</v>
      </c>
      <c r="AG8" t="s">
        <v>1166</v>
      </c>
      <c r="AI8" t="s">
        <v>35</v>
      </c>
      <c r="AJ8" t="s">
        <v>84</v>
      </c>
      <c r="AM8" t="s">
        <v>922</v>
      </c>
      <c r="AN8" t="s">
        <v>931</v>
      </c>
      <c r="AO8" t="s">
        <v>72</v>
      </c>
      <c r="AV8" s="1"/>
      <c r="BB8" t="s">
        <v>1108</v>
      </c>
    </row>
    <row r="9" spans="1:54" ht="15" customHeight="1" x14ac:dyDescent="0.25">
      <c r="A9" t="s">
        <v>120</v>
      </c>
      <c r="B9">
        <v>284003</v>
      </c>
      <c r="C9" s="1"/>
      <c r="D9" t="s">
        <v>119</v>
      </c>
      <c r="E9">
        <v>60</v>
      </c>
      <c r="F9" s="2"/>
      <c r="G9" t="s">
        <v>1136</v>
      </c>
      <c r="H9">
        <v>200</v>
      </c>
      <c r="I9">
        <v>0</v>
      </c>
      <c r="M9" t="s">
        <v>1006</v>
      </c>
      <c r="P9">
        <v>1</v>
      </c>
      <c r="W9" t="s">
        <v>1137</v>
      </c>
      <c r="X9" t="s">
        <v>57</v>
      </c>
      <c r="Y9" t="s">
        <v>1121</v>
      </c>
      <c r="Z9" t="s">
        <v>1036</v>
      </c>
      <c r="AA9" t="s">
        <v>38</v>
      </c>
      <c r="AB9" t="s">
        <v>38</v>
      </c>
      <c r="AC9" t="s">
        <v>1150</v>
      </c>
      <c r="AD9" t="s">
        <v>38</v>
      </c>
      <c r="AI9" t="s">
        <v>36</v>
      </c>
      <c r="AJ9" t="s">
        <v>85</v>
      </c>
      <c r="AM9" t="s">
        <v>947</v>
      </c>
      <c r="AN9" t="s">
        <v>925</v>
      </c>
      <c r="AO9" t="s">
        <v>73</v>
      </c>
      <c r="AV9" s="1"/>
      <c r="BB9" t="s">
        <v>1109</v>
      </c>
    </row>
    <row r="10" spans="1:54" x14ac:dyDescent="0.25">
      <c r="A10" s="2" t="s">
        <v>886</v>
      </c>
      <c r="B10" t="s">
        <v>26</v>
      </c>
      <c r="C10" s="1"/>
      <c r="D10" t="s">
        <v>30</v>
      </c>
      <c r="E10">
        <v>70</v>
      </c>
      <c r="F10" s="2"/>
      <c r="G10" t="s">
        <v>1137</v>
      </c>
      <c r="H10">
        <v>10</v>
      </c>
      <c r="I10">
        <v>0</v>
      </c>
      <c r="L10" t="s">
        <v>894</v>
      </c>
      <c r="M10" t="s">
        <v>1177</v>
      </c>
      <c r="O10" t="s">
        <v>120</v>
      </c>
      <c r="P10">
        <v>0</v>
      </c>
      <c r="W10" t="s">
        <v>57</v>
      </c>
      <c r="X10" t="s">
        <v>1138</v>
      </c>
      <c r="Y10" t="s">
        <v>1076</v>
      </c>
      <c r="Z10" t="s">
        <v>1158</v>
      </c>
      <c r="AA10" t="s">
        <v>39</v>
      </c>
      <c r="AB10" t="s">
        <v>39</v>
      </c>
      <c r="AC10" t="s">
        <v>1121</v>
      </c>
      <c r="AD10" t="s">
        <v>39</v>
      </c>
      <c r="AI10" t="s">
        <v>37</v>
      </c>
      <c r="AJ10" t="s">
        <v>86</v>
      </c>
      <c r="AM10" t="s">
        <v>948</v>
      </c>
      <c r="AN10" t="s">
        <v>925</v>
      </c>
      <c r="AO10" t="s">
        <v>74</v>
      </c>
      <c r="AV10" s="1"/>
      <c r="BB10" t="s">
        <v>1110</v>
      </c>
    </row>
    <row r="11" spans="1:54" x14ac:dyDescent="0.25">
      <c r="A11" s="2" t="s">
        <v>887</v>
      </c>
      <c r="B11">
        <v>1</v>
      </c>
      <c r="C11" s="1"/>
      <c r="D11" t="s">
        <v>23</v>
      </c>
      <c r="E11">
        <v>80</v>
      </c>
      <c r="F11" s="2"/>
      <c r="G11" t="s">
        <v>57</v>
      </c>
      <c r="H11">
        <v>210</v>
      </c>
      <c r="I11">
        <v>0</v>
      </c>
      <c r="M11" t="s">
        <v>1006</v>
      </c>
      <c r="P11">
        <v>0</v>
      </c>
      <c r="W11" t="s">
        <v>1138</v>
      </c>
      <c r="X11" t="s">
        <v>1163</v>
      </c>
      <c r="Y11" t="s">
        <v>1033</v>
      </c>
      <c r="Z11" t="s">
        <v>1159</v>
      </c>
      <c r="AA11" t="s">
        <v>1144</v>
      </c>
      <c r="AB11" t="s">
        <v>1144</v>
      </c>
      <c r="AC11" t="s">
        <v>1076</v>
      </c>
      <c r="AD11" t="s">
        <v>1144</v>
      </c>
      <c r="AI11" t="s">
        <v>38</v>
      </c>
      <c r="AJ11" t="s">
        <v>87</v>
      </c>
      <c r="AM11" t="s">
        <v>949</v>
      </c>
      <c r="AN11" t="s">
        <v>943</v>
      </c>
      <c r="AO11" t="s">
        <v>75</v>
      </c>
      <c r="AV11" s="1"/>
      <c r="BB11" t="s">
        <v>1111</v>
      </c>
    </row>
    <row r="12" spans="1:54" x14ac:dyDescent="0.25">
      <c r="A12" s="2" t="s">
        <v>888</v>
      </c>
      <c r="C12" s="1"/>
      <c r="F12" s="2"/>
      <c r="G12" t="s">
        <v>1138</v>
      </c>
      <c r="H12">
        <v>210</v>
      </c>
      <c r="I12">
        <v>0</v>
      </c>
      <c r="M12" t="s">
        <v>1006</v>
      </c>
      <c r="P12">
        <v>0</v>
      </c>
      <c r="W12" t="s">
        <v>1139</v>
      </c>
      <c r="X12" t="s">
        <v>1166</v>
      </c>
      <c r="Y12" t="s">
        <v>1151</v>
      </c>
      <c r="Z12" t="s">
        <v>1160</v>
      </c>
      <c r="AA12" t="s">
        <v>41</v>
      </c>
      <c r="AB12" t="s">
        <v>1145</v>
      </c>
      <c r="AC12" t="s">
        <v>1033</v>
      </c>
      <c r="AD12" t="s">
        <v>41</v>
      </c>
      <c r="AI12" t="s">
        <v>39</v>
      </c>
      <c r="AJ12" t="s">
        <v>88</v>
      </c>
      <c r="AN12" t="s">
        <v>936</v>
      </c>
      <c r="AO12" t="s">
        <v>76</v>
      </c>
      <c r="AV12" s="1"/>
      <c r="BB12" t="s">
        <v>1112</v>
      </c>
    </row>
    <row r="13" spans="1:54" x14ac:dyDescent="0.25">
      <c r="A13" s="2" t="s">
        <v>60</v>
      </c>
      <c r="C13" s="1"/>
      <c r="G13" t="s">
        <v>1139</v>
      </c>
      <c r="H13">
        <v>140</v>
      </c>
      <c r="I13">
        <v>0</v>
      </c>
      <c r="M13" t="s">
        <v>1006</v>
      </c>
      <c r="P13">
        <v>0</v>
      </c>
      <c r="W13" t="s">
        <v>1025</v>
      </c>
      <c r="Y13" t="s">
        <v>1152</v>
      </c>
      <c r="AA13" t="s">
        <v>1145</v>
      </c>
      <c r="AB13" t="s">
        <v>42</v>
      </c>
      <c r="AC13" t="s">
        <v>1151</v>
      </c>
      <c r="AD13" t="s">
        <v>1145</v>
      </c>
      <c r="AI13" t="s">
        <v>40</v>
      </c>
      <c r="AJ13" t="s">
        <v>89</v>
      </c>
      <c r="AN13" t="s">
        <v>937</v>
      </c>
      <c r="AO13" t="s">
        <v>77</v>
      </c>
      <c r="AV13" s="1"/>
      <c r="BB13" t="s">
        <v>1113</v>
      </c>
    </row>
    <row r="14" spans="1:54" x14ac:dyDescent="0.25">
      <c r="A14" s="2" t="s">
        <v>1126</v>
      </c>
      <c r="B14">
        <v>1</v>
      </c>
      <c r="C14" s="1"/>
      <c r="G14" t="s">
        <v>1025</v>
      </c>
      <c r="H14">
        <v>140</v>
      </c>
      <c r="I14">
        <v>0</v>
      </c>
      <c r="M14" t="s">
        <v>1006</v>
      </c>
      <c r="P14">
        <v>0</v>
      </c>
      <c r="W14" t="s">
        <v>1140</v>
      </c>
      <c r="Y14" t="s">
        <v>1153</v>
      </c>
      <c r="AA14" t="s">
        <v>42</v>
      </c>
      <c r="AB14" t="s">
        <v>43</v>
      </c>
      <c r="AC14" t="s">
        <v>1152</v>
      </c>
      <c r="AD14" t="s">
        <v>42</v>
      </c>
      <c r="AI14" t="s">
        <v>41</v>
      </c>
      <c r="AJ14" t="s">
        <v>90</v>
      </c>
      <c r="AN14" t="s">
        <v>932</v>
      </c>
      <c r="BB14" t="s">
        <v>1114</v>
      </c>
    </row>
    <row r="15" spans="1:54" x14ac:dyDescent="0.25">
      <c r="A15" s="2"/>
      <c r="C15" s="1"/>
      <c r="G15" t="s">
        <v>1140</v>
      </c>
      <c r="H15">
        <v>140</v>
      </c>
      <c r="I15">
        <v>0</v>
      </c>
      <c r="M15" t="s">
        <v>1006</v>
      </c>
      <c r="P15">
        <v>0</v>
      </c>
      <c r="W15" t="s">
        <v>1141</v>
      </c>
      <c r="Y15" t="s">
        <v>1154</v>
      </c>
      <c r="AA15" t="s">
        <v>43</v>
      </c>
      <c r="AB15" t="s">
        <v>1155</v>
      </c>
      <c r="AC15" t="s">
        <v>1153</v>
      </c>
      <c r="AD15" t="s">
        <v>43</v>
      </c>
      <c r="AI15" t="s">
        <v>42</v>
      </c>
      <c r="AJ15" t="s">
        <v>91</v>
      </c>
      <c r="AN15" t="s">
        <v>938</v>
      </c>
      <c r="BB15" t="s">
        <v>1115</v>
      </c>
    </row>
    <row r="16" spans="1:54" x14ac:dyDescent="0.25">
      <c r="A16" s="2"/>
      <c r="C16" s="1"/>
      <c r="G16" t="s">
        <v>1141</v>
      </c>
      <c r="H16">
        <v>140</v>
      </c>
      <c r="I16">
        <v>0</v>
      </c>
      <c r="M16" t="s">
        <v>1006</v>
      </c>
      <c r="P16">
        <v>0</v>
      </c>
      <c r="W16" t="s">
        <v>35</v>
      </c>
      <c r="AA16" t="s">
        <v>1147</v>
      </c>
      <c r="AB16" t="s">
        <v>1156</v>
      </c>
      <c r="AC16" t="s">
        <v>1154</v>
      </c>
      <c r="AD16" t="s">
        <v>1147</v>
      </c>
      <c r="AI16" t="s">
        <v>43</v>
      </c>
      <c r="AJ16" t="s">
        <v>92</v>
      </c>
      <c r="AN16" t="s">
        <v>944</v>
      </c>
      <c r="BB16" t="s">
        <v>1116</v>
      </c>
    </row>
    <row r="17" spans="3:54" x14ac:dyDescent="0.25">
      <c r="C17" s="1"/>
      <c r="G17" t="s">
        <v>35</v>
      </c>
      <c r="H17">
        <v>60</v>
      </c>
      <c r="I17">
        <v>0</v>
      </c>
      <c r="M17" t="s">
        <v>1006</v>
      </c>
      <c r="P17">
        <v>0</v>
      </c>
      <c r="W17" t="s">
        <v>36</v>
      </c>
      <c r="AA17" t="s">
        <v>48</v>
      </c>
      <c r="AB17" t="s">
        <v>1157</v>
      </c>
      <c r="AC17" t="s">
        <v>1155</v>
      </c>
      <c r="AD17" t="s">
        <v>48</v>
      </c>
      <c r="AI17" t="s">
        <v>44</v>
      </c>
      <c r="AJ17" t="s">
        <v>93</v>
      </c>
      <c r="AN17" t="s">
        <v>939</v>
      </c>
      <c r="BB17" t="s">
        <v>1117</v>
      </c>
    </row>
    <row r="18" spans="3:54" x14ac:dyDescent="0.25">
      <c r="C18" s="1"/>
      <c r="G18" t="s">
        <v>36</v>
      </c>
      <c r="H18">
        <v>30</v>
      </c>
      <c r="I18">
        <v>0</v>
      </c>
      <c r="M18" t="s">
        <v>1006</v>
      </c>
      <c r="P18">
        <v>1</v>
      </c>
      <c r="W18" t="s">
        <v>37</v>
      </c>
      <c r="AA18" t="s">
        <v>1148</v>
      </c>
      <c r="AB18" t="s">
        <v>1122</v>
      </c>
      <c r="AC18" t="s">
        <v>1156</v>
      </c>
      <c r="AD18" t="s">
        <v>1148</v>
      </c>
      <c r="AI18" t="s">
        <v>45</v>
      </c>
      <c r="AJ18" t="s">
        <v>94</v>
      </c>
      <c r="AN18" t="s">
        <v>945</v>
      </c>
      <c r="BB18" t="s">
        <v>1118</v>
      </c>
    </row>
    <row r="19" spans="3:54" x14ac:dyDescent="0.25">
      <c r="C19" s="1"/>
      <c r="G19" t="s">
        <v>37</v>
      </c>
      <c r="H19">
        <v>180</v>
      </c>
      <c r="I19">
        <v>0</v>
      </c>
      <c r="M19" t="s">
        <v>1006</v>
      </c>
      <c r="P19">
        <v>0</v>
      </c>
      <c r="W19" t="s">
        <v>38</v>
      </c>
      <c r="AA19" t="s">
        <v>1149</v>
      </c>
      <c r="AB19" t="s">
        <v>1035</v>
      </c>
      <c r="AC19" t="s">
        <v>1157</v>
      </c>
      <c r="AD19" t="s">
        <v>1149</v>
      </c>
      <c r="AI19" t="s">
        <v>46</v>
      </c>
      <c r="AJ19" t="s">
        <v>95</v>
      </c>
      <c r="AN19" t="s">
        <v>926</v>
      </c>
      <c r="BB19" t="s">
        <v>1119</v>
      </c>
    </row>
    <row r="20" spans="3:54" x14ac:dyDescent="0.25">
      <c r="G20" t="s">
        <v>38</v>
      </c>
      <c r="H20">
        <v>260</v>
      </c>
      <c r="I20">
        <v>1</v>
      </c>
      <c r="J20" t="s">
        <v>1142</v>
      </c>
      <c r="K20" t="s">
        <v>1143</v>
      </c>
      <c r="M20" t="s">
        <v>1006</v>
      </c>
      <c r="P20">
        <v>0</v>
      </c>
      <c r="W20" t="s">
        <v>39</v>
      </c>
      <c r="AA20" t="s">
        <v>1150</v>
      </c>
      <c r="AB20" t="s">
        <v>1036</v>
      </c>
      <c r="AC20" t="s">
        <v>1122</v>
      </c>
      <c r="AD20" t="s">
        <v>1150</v>
      </c>
      <c r="AI20" t="s">
        <v>47</v>
      </c>
      <c r="AJ20" t="s">
        <v>96</v>
      </c>
      <c r="AN20" t="s">
        <v>940</v>
      </c>
      <c r="AQ20" s="1"/>
    </row>
    <row r="21" spans="3:54" x14ac:dyDescent="0.25">
      <c r="G21" t="s">
        <v>39</v>
      </c>
      <c r="H21">
        <v>250</v>
      </c>
      <c r="I21">
        <v>1</v>
      </c>
      <c r="J21" t="s">
        <v>1142</v>
      </c>
      <c r="K21" t="s">
        <v>1143</v>
      </c>
      <c r="M21" t="s">
        <v>1006</v>
      </c>
      <c r="P21">
        <v>0</v>
      </c>
      <c r="W21" t="s">
        <v>1144</v>
      </c>
      <c r="AA21" t="s">
        <v>1121</v>
      </c>
      <c r="AB21" t="s">
        <v>1158</v>
      </c>
      <c r="AC21" t="s">
        <v>1035</v>
      </c>
      <c r="AD21" t="s">
        <v>1121</v>
      </c>
      <c r="AI21" t="s">
        <v>48</v>
      </c>
      <c r="AJ21" t="s">
        <v>97</v>
      </c>
      <c r="AN21" t="s">
        <v>927</v>
      </c>
    </row>
    <row r="22" spans="3:54" x14ac:dyDescent="0.25">
      <c r="G22" t="s">
        <v>1144</v>
      </c>
      <c r="H22">
        <v>280</v>
      </c>
      <c r="I22">
        <v>1</v>
      </c>
      <c r="J22" t="s">
        <v>1129</v>
      </c>
      <c r="K22" t="s">
        <v>1129</v>
      </c>
      <c r="M22" t="s">
        <v>1006</v>
      </c>
      <c r="P22">
        <v>0</v>
      </c>
      <c r="W22" t="s">
        <v>41</v>
      </c>
      <c r="AA22" t="s">
        <v>1076</v>
      </c>
      <c r="AB22" t="s">
        <v>1159</v>
      </c>
      <c r="AC22" t="s">
        <v>1036</v>
      </c>
      <c r="AD22" t="s">
        <v>1076</v>
      </c>
      <c r="AI22" t="s">
        <v>49</v>
      </c>
      <c r="AJ22" t="s">
        <v>98</v>
      </c>
      <c r="AN22" t="s">
        <v>928</v>
      </c>
    </row>
    <row r="23" spans="3:54" x14ac:dyDescent="0.25">
      <c r="G23" t="s">
        <v>41</v>
      </c>
      <c r="H23">
        <v>40</v>
      </c>
      <c r="I23">
        <v>0</v>
      </c>
      <c r="M23" t="s">
        <v>1006</v>
      </c>
      <c r="P23">
        <v>0</v>
      </c>
      <c r="W23" t="s">
        <v>1145</v>
      </c>
      <c r="AA23" t="s">
        <v>1033</v>
      </c>
      <c r="AB23" t="s">
        <v>1160</v>
      </c>
      <c r="AC23" t="s">
        <v>1158</v>
      </c>
      <c r="AD23" t="s">
        <v>1033</v>
      </c>
      <c r="AI23" t="s">
        <v>50</v>
      </c>
      <c r="AJ23" t="s">
        <v>99</v>
      </c>
      <c r="AN23" t="s">
        <v>929</v>
      </c>
    </row>
    <row r="24" spans="3:54" x14ac:dyDescent="0.25">
      <c r="G24" t="s">
        <v>1145</v>
      </c>
      <c r="H24">
        <v>140</v>
      </c>
      <c r="I24">
        <v>0</v>
      </c>
      <c r="M24" t="s">
        <v>1006</v>
      </c>
      <c r="P24">
        <v>0</v>
      </c>
      <c r="W24" t="s">
        <v>42</v>
      </c>
      <c r="AA24" t="s">
        <v>1151</v>
      </c>
      <c r="AB24" t="s">
        <v>1032</v>
      </c>
      <c r="AC24" t="s">
        <v>1159</v>
      </c>
      <c r="AD24" t="s">
        <v>1151</v>
      </c>
      <c r="AI24" t="s">
        <v>51</v>
      </c>
      <c r="AJ24" t="s">
        <v>100</v>
      </c>
      <c r="AN24" t="s">
        <v>934</v>
      </c>
    </row>
    <row r="25" spans="3:54" x14ac:dyDescent="0.25">
      <c r="G25" t="s">
        <v>42</v>
      </c>
      <c r="H25">
        <v>280</v>
      </c>
      <c r="I25">
        <v>0</v>
      </c>
      <c r="M25" t="s">
        <v>1006</v>
      </c>
      <c r="P25">
        <v>0</v>
      </c>
      <c r="W25" t="s">
        <v>43</v>
      </c>
      <c r="AA25" t="s">
        <v>1152</v>
      </c>
      <c r="AB25" t="s">
        <v>1161</v>
      </c>
      <c r="AC25" t="s">
        <v>1160</v>
      </c>
      <c r="AD25" t="s">
        <v>1152</v>
      </c>
      <c r="AI25" t="s">
        <v>52</v>
      </c>
      <c r="AJ25" t="s">
        <v>101</v>
      </c>
      <c r="AN25" t="s">
        <v>933</v>
      </c>
    </row>
    <row r="26" spans="3:54" x14ac:dyDescent="0.25">
      <c r="G26" t="s">
        <v>43</v>
      </c>
      <c r="H26">
        <v>270</v>
      </c>
      <c r="I26">
        <v>0</v>
      </c>
      <c r="M26" t="s">
        <v>1006</v>
      </c>
      <c r="P26">
        <v>0</v>
      </c>
      <c r="W26" t="s">
        <v>44</v>
      </c>
      <c r="AA26" t="s">
        <v>1153</v>
      </c>
      <c r="AB26" t="s">
        <v>1162</v>
      </c>
      <c r="AD26" t="s">
        <v>1153</v>
      </c>
      <c r="AI26" t="s">
        <v>1027</v>
      </c>
      <c r="AJ26" t="s">
        <v>102</v>
      </c>
      <c r="AN26" t="s">
        <v>930</v>
      </c>
    </row>
    <row r="27" spans="3:54" x14ac:dyDescent="0.25">
      <c r="G27" t="s">
        <v>44</v>
      </c>
      <c r="H27">
        <v>50</v>
      </c>
      <c r="I27">
        <v>0</v>
      </c>
      <c r="M27" t="s">
        <v>1006</v>
      </c>
      <c r="P27">
        <v>0</v>
      </c>
      <c r="W27" t="s">
        <v>45</v>
      </c>
      <c r="AA27" t="s">
        <v>1154</v>
      </c>
      <c r="AD27" t="s">
        <v>1154</v>
      </c>
      <c r="AI27" t="s">
        <v>53</v>
      </c>
      <c r="AJ27" t="s">
        <v>103</v>
      </c>
    </row>
    <row r="28" spans="3:54" x14ac:dyDescent="0.25">
      <c r="G28" t="s">
        <v>45</v>
      </c>
      <c r="H28">
        <v>190</v>
      </c>
      <c r="I28">
        <v>0</v>
      </c>
      <c r="M28" t="s">
        <v>1006</v>
      </c>
      <c r="P28">
        <v>0</v>
      </c>
      <c r="W28" t="s">
        <v>1146</v>
      </c>
      <c r="AA28" t="s">
        <v>1032</v>
      </c>
      <c r="AD28" t="s">
        <v>1155</v>
      </c>
      <c r="AI28" t="s">
        <v>54</v>
      </c>
      <c r="AJ28" t="s">
        <v>104</v>
      </c>
    </row>
    <row r="29" spans="3:54" x14ac:dyDescent="0.25">
      <c r="G29" t="s">
        <v>1146</v>
      </c>
      <c r="H29">
        <v>20</v>
      </c>
      <c r="I29">
        <v>0</v>
      </c>
      <c r="M29" t="s">
        <v>1006</v>
      </c>
      <c r="P29">
        <v>0</v>
      </c>
      <c r="W29" t="s">
        <v>1147</v>
      </c>
      <c r="AA29" t="s">
        <v>1161</v>
      </c>
      <c r="AD29" t="s">
        <v>1156</v>
      </c>
      <c r="AI29" t="s">
        <v>55</v>
      </c>
      <c r="AJ29" t="s">
        <v>105</v>
      </c>
    </row>
    <row r="30" spans="3:54" x14ac:dyDescent="0.25">
      <c r="G30" t="s">
        <v>1147</v>
      </c>
      <c r="H30">
        <v>80</v>
      </c>
      <c r="I30">
        <v>0</v>
      </c>
      <c r="M30" t="s">
        <v>1006</v>
      </c>
      <c r="P30">
        <v>0</v>
      </c>
      <c r="W30" t="s">
        <v>48</v>
      </c>
      <c r="AA30" t="s">
        <v>1162</v>
      </c>
      <c r="AD30" t="s">
        <v>1157</v>
      </c>
      <c r="AI30" t="s">
        <v>56</v>
      </c>
      <c r="AJ30" t="s">
        <v>106</v>
      </c>
    </row>
    <row r="31" spans="3:54" x14ac:dyDescent="0.25">
      <c r="G31" t="s">
        <v>48</v>
      </c>
      <c r="H31">
        <v>150</v>
      </c>
      <c r="I31">
        <v>0</v>
      </c>
      <c r="M31" t="s">
        <v>1006</v>
      </c>
      <c r="P31">
        <v>0</v>
      </c>
      <c r="W31" t="s">
        <v>1148</v>
      </c>
      <c r="AD31" t="s">
        <v>1122</v>
      </c>
      <c r="AJ31" t="s">
        <v>107</v>
      </c>
    </row>
    <row r="32" spans="3:54" x14ac:dyDescent="0.25">
      <c r="G32" t="s">
        <v>1148</v>
      </c>
      <c r="H32">
        <v>240</v>
      </c>
      <c r="I32">
        <v>1</v>
      </c>
      <c r="J32" t="s">
        <v>1129</v>
      </c>
      <c r="K32" t="s">
        <v>1129</v>
      </c>
      <c r="M32" t="s">
        <v>1006</v>
      </c>
      <c r="P32">
        <v>0</v>
      </c>
      <c r="W32" t="s">
        <v>1149</v>
      </c>
      <c r="AD32" t="s">
        <v>1035</v>
      </c>
      <c r="AJ32" t="s">
        <v>108</v>
      </c>
    </row>
    <row r="33" spans="7:36" x14ac:dyDescent="0.25">
      <c r="G33" t="s">
        <v>1149</v>
      </c>
      <c r="H33">
        <v>240</v>
      </c>
      <c r="I33">
        <v>1</v>
      </c>
      <c r="J33" t="s">
        <v>1129</v>
      </c>
      <c r="K33" t="s">
        <v>1129</v>
      </c>
      <c r="M33" t="s">
        <v>1006</v>
      </c>
      <c r="P33">
        <v>0</v>
      </c>
      <c r="W33" t="s">
        <v>1150</v>
      </c>
      <c r="AD33" t="s">
        <v>1036</v>
      </c>
      <c r="AJ33" t="s">
        <v>109</v>
      </c>
    </row>
    <row r="34" spans="7:36" x14ac:dyDescent="0.25">
      <c r="G34" t="s">
        <v>1150</v>
      </c>
      <c r="H34">
        <v>240</v>
      </c>
      <c r="I34">
        <v>1</v>
      </c>
      <c r="J34" t="s">
        <v>1129</v>
      </c>
      <c r="K34" t="s">
        <v>1129</v>
      </c>
      <c r="M34" t="s">
        <v>1006</v>
      </c>
      <c r="P34">
        <v>0</v>
      </c>
      <c r="W34" t="s">
        <v>1121</v>
      </c>
      <c r="AD34" t="s">
        <v>1158</v>
      </c>
      <c r="AJ34" t="s">
        <v>110</v>
      </c>
    </row>
    <row r="35" spans="7:36" x14ac:dyDescent="0.25">
      <c r="G35" t="s">
        <v>1121</v>
      </c>
      <c r="H35">
        <v>240</v>
      </c>
      <c r="I35">
        <v>1</v>
      </c>
      <c r="J35" t="s">
        <v>1129</v>
      </c>
      <c r="K35" t="s">
        <v>1129</v>
      </c>
      <c r="M35" t="s">
        <v>1006</v>
      </c>
      <c r="P35">
        <v>0</v>
      </c>
      <c r="W35" t="s">
        <v>1076</v>
      </c>
      <c r="AD35" t="s">
        <v>1159</v>
      </c>
      <c r="AJ35" t="s">
        <v>111</v>
      </c>
    </row>
    <row r="36" spans="7:36" x14ac:dyDescent="0.25">
      <c r="G36" t="s">
        <v>1076</v>
      </c>
      <c r="H36">
        <v>240</v>
      </c>
      <c r="I36">
        <v>1</v>
      </c>
      <c r="J36" t="s">
        <v>1129</v>
      </c>
      <c r="K36" t="s">
        <v>1129</v>
      </c>
      <c r="M36" t="s">
        <v>1006</v>
      </c>
      <c r="P36">
        <v>0</v>
      </c>
      <c r="W36" t="s">
        <v>1033</v>
      </c>
      <c r="AD36" t="s">
        <v>1160</v>
      </c>
      <c r="AJ36" t="s">
        <v>25</v>
      </c>
    </row>
    <row r="37" spans="7:36" x14ac:dyDescent="0.25">
      <c r="G37" t="s">
        <v>1033</v>
      </c>
      <c r="H37">
        <v>240</v>
      </c>
      <c r="I37">
        <v>1</v>
      </c>
      <c r="J37" t="s">
        <v>1129</v>
      </c>
      <c r="K37" t="s">
        <v>1129</v>
      </c>
      <c r="M37" t="s">
        <v>1006</v>
      </c>
      <c r="P37">
        <v>0</v>
      </c>
      <c r="W37" t="s">
        <v>1151</v>
      </c>
      <c r="AD37" t="s">
        <v>1032</v>
      </c>
      <c r="AJ37" t="s">
        <v>112</v>
      </c>
    </row>
    <row r="38" spans="7:36" x14ac:dyDescent="0.25">
      <c r="G38" t="s">
        <v>1151</v>
      </c>
      <c r="H38" s="77">
        <v>240</v>
      </c>
      <c r="I38">
        <v>1</v>
      </c>
      <c r="J38" t="s">
        <v>1129</v>
      </c>
      <c r="K38" t="s">
        <v>1129</v>
      </c>
      <c r="M38" s="77" t="s">
        <v>1006</v>
      </c>
      <c r="P38">
        <v>0</v>
      </c>
      <c r="W38" t="s">
        <v>1152</v>
      </c>
      <c r="AD38" t="s">
        <v>1161</v>
      </c>
      <c r="AJ38" t="s">
        <v>113</v>
      </c>
    </row>
    <row r="39" spans="7:36" x14ac:dyDescent="0.25">
      <c r="G39" t="s">
        <v>1152</v>
      </c>
      <c r="H39">
        <v>240</v>
      </c>
      <c r="I39">
        <v>1</v>
      </c>
      <c r="J39" t="s">
        <v>1129</v>
      </c>
      <c r="K39" t="s">
        <v>1129</v>
      </c>
      <c r="M39" t="s">
        <v>1006</v>
      </c>
      <c r="P39">
        <v>0</v>
      </c>
      <c r="W39" t="s">
        <v>1153</v>
      </c>
      <c r="AD39" t="s">
        <v>1162</v>
      </c>
    </row>
    <row r="40" spans="7:36" x14ac:dyDescent="0.25">
      <c r="G40" t="s">
        <v>1153</v>
      </c>
      <c r="H40">
        <v>240</v>
      </c>
      <c r="I40">
        <v>1</v>
      </c>
      <c r="J40" s="71" t="s">
        <v>1129</v>
      </c>
      <c r="K40" s="71" t="s">
        <v>1129</v>
      </c>
      <c r="M40" s="77" t="s">
        <v>1006</v>
      </c>
      <c r="P40">
        <v>0</v>
      </c>
      <c r="W40" t="s">
        <v>1154</v>
      </c>
    </row>
    <row r="41" spans="7:36" x14ac:dyDescent="0.25">
      <c r="G41" t="s">
        <v>1154</v>
      </c>
      <c r="H41">
        <v>240</v>
      </c>
      <c r="I41">
        <v>1</v>
      </c>
      <c r="J41" s="71" t="s">
        <v>1129</v>
      </c>
      <c r="K41" s="71" t="s">
        <v>1129</v>
      </c>
      <c r="M41" s="77" t="s">
        <v>1006</v>
      </c>
      <c r="P41">
        <v>0</v>
      </c>
      <c r="W41" t="s">
        <v>50</v>
      </c>
    </row>
    <row r="42" spans="7:36" x14ac:dyDescent="0.25">
      <c r="G42" t="s">
        <v>50</v>
      </c>
      <c r="H42">
        <v>100</v>
      </c>
      <c r="I42">
        <v>0</v>
      </c>
      <c r="M42" t="s">
        <v>1006</v>
      </c>
      <c r="P42">
        <v>0</v>
      </c>
      <c r="W42" t="s">
        <v>1155</v>
      </c>
    </row>
    <row r="43" spans="7:36" x14ac:dyDescent="0.25">
      <c r="G43" t="s">
        <v>1155</v>
      </c>
      <c r="H43">
        <v>230</v>
      </c>
      <c r="I43">
        <v>1</v>
      </c>
      <c r="J43" s="71" t="s">
        <v>1129</v>
      </c>
      <c r="K43" s="71" t="s">
        <v>1129</v>
      </c>
      <c r="M43" s="77" t="s">
        <v>1006</v>
      </c>
      <c r="P43">
        <v>0</v>
      </c>
      <c r="W43" t="s">
        <v>1156</v>
      </c>
    </row>
    <row r="44" spans="7:36" x14ac:dyDescent="0.25">
      <c r="G44" t="s">
        <v>1156</v>
      </c>
      <c r="H44">
        <v>230</v>
      </c>
      <c r="I44">
        <v>1</v>
      </c>
      <c r="J44" t="s">
        <v>1129</v>
      </c>
      <c r="K44" t="s">
        <v>1129</v>
      </c>
      <c r="M44" t="s">
        <v>1006</v>
      </c>
      <c r="P44">
        <v>0</v>
      </c>
      <c r="W44" t="s">
        <v>1157</v>
      </c>
    </row>
    <row r="45" spans="7:36" x14ac:dyDescent="0.25">
      <c r="G45" t="s">
        <v>1157</v>
      </c>
      <c r="H45">
        <v>230</v>
      </c>
      <c r="I45">
        <v>1</v>
      </c>
      <c r="J45" t="s">
        <v>1129</v>
      </c>
      <c r="K45" t="s">
        <v>1129</v>
      </c>
      <c r="M45" t="s">
        <v>1006</v>
      </c>
      <c r="P45">
        <v>0</v>
      </c>
      <c r="W45" t="s">
        <v>1122</v>
      </c>
    </row>
    <row r="46" spans="7:36" x14ac:dyDescent="0.25">
      <c r="G46" t="s">
        <v>1122</v>
      </c>
      <c r="H46">
        <v>230</v>
      </c>
      <c r="I46">
        <v>1</v>
      </c>
      <c r="J46" t="s">
        <v>1129</v>
      </c>
      <c r="K46" t="s">
        <v>1129</v>
      </c>
      <c r="M46" t="s">
        <v>1006</v>
      </c>
      <c r="P46">
        <v>0</v>
      </c>
      <c r="W46" t="s">
        <v>1035</v>
      </c>
    </row>
    <row r="47" spans="7:36" x14ac:dyDescent="0.25">
      <c r="G47" t="s">
        <v>1035</v>
      </c>
      <c r="H47">
        <v>230</v>
      </c>
      <c r="I47">
        <v>1</v>
      </c>
      <c r="J47" t="s">
        <v>1129</v>
      </c>
      <c r="K47" t="s">
        <v>1129</v>
      </c>
      <c r="M47" t="s">
        <v>1006</v>
      </c>
      <c r="P47">
        <v>0</v>
      </c>
      <c r="W47" t="s">
        <v>1036</v>
      </c>
    </row>
    <row r="48" spans="7:36" x14ac:dyDescent="0.25">
      <c r="G48" t="s">
        <v>1036</v>
      </c>
      <c r="H48">
        <v>230</v>
      </c>
      <c r="I48">
        <v>1</v>
      </c>
      <c r="J48" t="s">
        <v>1129</v>
      </c>
      <c r="K48" t="s">
        <v>1129</v>
      </c>
      <c r="M48" t="s">
        <v>1006</v>
      </c>
      <c r="P48">
        <v>0</v>
      </c>
      <c r="W48" t="s">
        <v>1158</v>
      </c>
    </row>
    <row r="49" spans="7:54" x14ac:dyDescent="0.25">
      <c r="G49" t="s">
        <v>1158</v>
      </c>
      <c r="H49">
        <v>230</v>
      </c>
      <c r="I49">
        <v>1</v>
      </c>
      <c r="J49" t="s">
        <v>1129</v>
      </c>
      <c r="K49" t="s">
        <v>1129</v>
      </c>
      <c r="M49" t="s">
        <v>1006</v>
      </c>
      <c r="P49">
        <v>0</v>
      </c>
      <c r="W49" t="s">
        <v>1159</v>
      </c>
      <c r="AM49" s="9" t="s">
        <v>915</v>
      </c>
      <c r="AN49" s="9" t="s">
        <v>916</v>
      </c>
      <c r="AO49" s="9" t="s">
        <v>115</v>
      </c>
      <c r="BB49" s="28" t="s">
        <v>1004</v>
      </c>
    </row>
    <row r="50" spans="7:54" x14ac:dyDescent="0.25">
      <c r="G50" t="s">
        <v>1159</v>
      </c>
      <c r="H50">
        <v>230</v>
      </c>
      <c r="I50">
        <v>1</v>
      </c>
      <c r="J50" t="s">
        <v>1129</v>
      </c>
      <c r="K50" t="s">
        <v>1129</v>
      </c>
      <c r="M50" t="s">
        <v>1006</v>
      </c>
      <c r="P50">
        <v>0</v>
      </c>
      <c r="W50" t="s">
        <v>1160</v>
      </c>
      <c r="AM50" t="s">
        <v>1007</v>
      </c>
      <c r="AN50" t="s">
        <v>1014</v>
      </c>
      <c r="AO50" t="s">
        <v>67</v>
      </c>
      <c r="BB50" s="27" t="s">
        <v>1120</v>
      </c>
    </row>
    <row r="51" spans="7:54" x14ac:dyDescent="0.25">
      <c r="G51" t="s">
        <v>1160</v>
      </c>
      <c r="H51">
        <v>230</v>
      </c>
      <c r="I51">
        <v>0</v>
      </c>
      <c r="M51" t="s">
        <v>1006</v>
      </c>
      <c r="P51">
        <v>0</v>
      </c>
      <c r="W51" t="s">
        <v>52</v>
      </c>
      <c r="AM51" t="s">
        <v>1008</v>
      </c>
      <c r="AN51" t="s">
        <v>935</v>
      </c>
      <c r="AO51" t="s">
        <v>1023</v>
      </c>
      <c r="BB51" t="s">
        <v>1105</v>
      </c>
    </row>
    <row r="52" spans="7:54" x14ac:dyDescent="0.25">
      <c r="G52" t="s">
        <v>52</v>
      </c>
      <c r="H52">
        <v>120</v>
      </c>
      <c r="I52">
        <v>0</v>
      </c>
      <c r="M52" t="s">
        <v>1006</v>
      </c>
      <c r="P52">
        <v>0</v>
      </c>
      <c r="W52" t="s">
        <v>1032</v>
      </c>
      <c r="AM52" t="s">
        <v>1009</v>
      </c>
      <c r="AN52" t="s">
        <v>923</v>
      </c>
      <c r="AO52" t="s">
        <v>68</v>
      </c>
      <c r="BB52" s="27" t="s">
        <v>1183</v>
      </c>
    </row>
    <row r="53" spans="7:54" x14ac:dyDescent="0.25">
      <c r="G53" t="s">
        <v>1032</v>
      </c>
      <c r="H53">
        <v>140</v>
      </c>
      <c r="I53">
        <v>0</v>
      </c>
      <c r="M53" t="s">
        <v>1006</v>
      </c>
      <c r="P53">
        <v>0</v>
      </c>
      <c r="W53" t="s">
        <v>1161</v>
      </c>
      <c r="AM53" t="s">
        <v>1010</v>
      </c>
      <c r="AN53" t="s">
        <v>941</v>
      </c>
      <c r="AO53" t="s">
        <v>1024</v>
      </c>
      <c r="BB53" t="s">
        <v>1106</v>
      </c>
    </row>
    <row r="54" spans="7:54" x14ac:dyDescent="0.25">
      <c r="G54" t="s">
        <v>1161</v>
      </c>
      <c r="H54">
        <v>140</v>
      </c>
      <c r="I54">
        <v>0</v>
      </c>
      <c r="M54" t="s">
        <v>1006</v>
      </c>
      <c r="P54">
        <v>0</v>
      </c>
      <c r="W54" t="s">
        <v>1162</v>
      </c>
      <c r="AM54" t="s">
        <v>921</v>
      </c>
      <c r="AN54" t="s">
        <v>942</v>
      </c>
      <c r="BB54" t="s">
        <v>1107</v>
      </c>
    </row>
    <row r="55" spans="7:54" x14ac:dyDescent="0.25">
      <c r="G55" t="s">
        <v>1162</v>
      </c>
      <c r="H55">
        <v>140</v>
      </c>
      <c r="I55">
        <v>0</v>
      </c>
      <c r="M55" t="s">
        <v>1006</v>
      </c>
      <c r="P55">
        <v>0</v>
      </c>
      <c r="W55" t="s">
        <v>1163</v>
      </c>
      <c r="AM55" t="s">
        <v>1011</v>
      </c>
      <c r="AN55" t="s">
        <v>1016</v>
      </c>
      <c r="BB55" t="s">
        <v>1108</v>
      </c>
    </row>
    <row r="56" spans="7:54" x14ac:dyDescent="0.25">
      <c r="G56" t="s">
        <v>1163</v>
      </c>
      <c r="H56">
        <v>160</v>
      </c>
      <c r="I56">
        <v>0</v>
      </c>
      <c r="L56" t="s">
        <v>1164</v>
      </c>
      <c r="M56" t="s">
        <v>1006</v>
      </c>
      <c r="O56" t="s">
        <v>1165</v>
      </c>
      <c r="P56">
        <v>1</v>
      </c>
      <c r="W56" t="s">
        <v>1166</v>
      </c>
      <c r="AM56" t="s">
        <v>922</v>
      </c>
      <c r="AN56" t="s">
        <v>1016</v>
      </c>
      <c r="BB56" t="s">
        <v>1109</v>
      </c>
    </row>
    <row r="57" spans="7:54" x14ac:dyDescent="0.25">
      <c r="G57" t="s">
        <v>1166</v>
      </c>
      <c r="H57">
        <v>160</v>
      </c>
      <c r="I57">
        <v>0</v>
      </c>
      <c r="L57" t="s">
        <v>1167</v>
      </c>
      <c r="M57" t="s">
        <v>1178</v>
      </c>
      <c r="O57" t="s">
        <v>120</v>
      </c>
      <c r="P57">
        <v>1</v>
      </c>
      <c r="W57" t="s">
        <v>55</v>
      </c>
      <c r="AM57" t="s">
        <v>1012</v>
      </c>
      <c r="AN57" t="s">
        <v>931</v>
      </c>
      <c r="BB57" t="s">
        <v>1110</v>
      </c>
    </row>
    <row r="58" spans="7:54" x14ac:dyDescent="0.25">
      <c r="G58" t="s">
        <v>55</v>
      </c>
      <c r="H58">
        <v>90</v>
      </c>
      <c r="I58">
        <v>0</v>
      </c>
      <c r="M58" t="s">
        <v>1006</v>
      </c>
      <c r="P58">
        <v>0</v>
      </c>
      <c r="W58" t="s">
        <v>56</v>
      </c>
      <c r="AM58" t="s">
        <v>1013</v>
      </c>
      <c r="AN58" t="s">
        <v>931</v>
      </c>
      <c r="BB58" t="s">
        <v>1111</v>
      </c>
    </row>
    <row r="59" spans="7:54" x14ac:dyDescent="0.25">
      <c r="G59" t="s">
        <v>56</v>
      </c>
      <c r="H59">
        <v>130</v>
      </c>
      <c r="I59">
        <v>0</v>
      </c>
      <c r="M59" t="s">
        <v>1006</v>
      </c>
      <c r="P59">
        <v>0</v>
      </c>
      <c r="AM59" t="s">
        <v>947</v>
      </c>
      <c r="AN59" t="s">
        <v>925</v>
      </c>
      <c r="BB59" t="s">
        <v>1112</v>
      </c>
    </row>
    <row r="60" spans="7:54" x14ac:dyDescent="0.25">
      <c r="AM60" t="s">
        <v>949</v>
      </c>
      <c r="AN60" t="s">
        <v>925</v>
      </c>
      <c r="BB60" t="s">
        <v>1113</v>
      </c>
    </row>
    <row r="61" spans="7:54" x14ac:dyDescent="0.25">
      <c r="AN61" t="s">
        <v>943</v>
      </c>
      <c r="BB61" t="s">
        <v>1114</v>
      </c>
    </row>
    <row r="62" spans="7:54" x14ac:dyDescent="0.25">
      <c r="J62" s="71"/>
      <c r="K62" s="71"/>
      <c r="M62" s="77"/>
      <c r="AN62" t="s">
        <v>936</v>
      </c>
      <c r="BB62" t="s">
        <v>1115</v>
      </c>
    </row>
    <row r="63" spans="7:54" x14ac:dyDescent="0.25">
      <c r="J63" s="71"/>
      <c r="K63" s="71"/>
      <c r="M63" s="77"/>
      <c r="AN63" t="s">
        <v>937</v>
      </c>
      <c r="BB63" t="s">
        <v>1116</v>
      </c>
    </row>
    <row r="64" spans="7:54" x14ac:dyDescent="0.25">
      <c r="J64" s="71"/>
      <c r="K64" s="71"/>
      <c r="M64" s="77"/>
      <c r="AN64" t="s">
        <v>1017</v>
      </c>
      <c r="BB64" t="s">
        <v>1117</v>
      </c>
    </row>
    <row r="65" spans="10:54" x14ac:dyDescent="0.25">
      <c r="J65" s="71"/>
      <c r="K65" s="71"/>
      <c r="M65" s="77"/>
      <c r="AN65" t="s">
        <v>938</v>
      </c>
      <c r="BB65" t="s">
        <v>1118</v>
      </c>
    </row>
    <row r="66" spans="10:54" x14ac:dyDescent="0.25">
      <c r="J66" s="71"/>
      <c r="K66" s="71"/>
      <c r="M66" s="77"/>
      <c r="AN66" t="s">
        <v>944</v>
      </c>
      <c r="BB66" t="s">
        <v>1119</v>
      </c>
    </row>
    <row r="67" spans="10:54" x14ac:dyDescent="0.25">
      <c r="J67" s="71"/>
      <c r="K67" s="71"/>
      <c r="M67" s="77"/>
      <c r="AN67" t="s">
        <v>945</v>
      </c>
    </row>
    <row r="68" spans="10:54" x14ac:dyDescent="0.25">
      <c r="J68" s="71"/>
      <c r="K68" s="71"/>
      <c r="M68" s="77"/>
      <c r="AN68" t="s">
        <v>926</v>
      </c>
    </row>
    <row r="69" spans="10:54" x14ac:dyDescent="0.25">
      <c r="J69" s="71"/>
      <c r="K69" s="71"/>
      <c r="M69" s="77"/>
      <c r="AN69" t="s">
        <v>926</v>
      </c>
    </row>
    <row r="70" spans="10:54" x14ac:dyDescent="0.25">
      <c r="J70" s="71"/>
      <c r="K70" s="71"/>
      <c r="M70" s="77"/>
      <c r="AN70" t="s">
        <v>940</v>
      </c>
    </row>
    <row r="71" spans="10:54" x14ac:dyDescent="0.25">
      <c r="J71" s="71"/>
      <c r="K71" s="71"/>
      <c r="M71" s="77"/>
      <c r="AN71" t="s">
        <v>1015</v>
      </c>
    </row>
    <row r="72" spans="10:54" x14ac:dyDescent="0.25">
      <c r="J72" s="71"/>
      <c r="K72" s="71"/>
      <c r="M72" s="77"/>
      <c r="AN72" t="s">
        <v>1018</v>
      </c>
    </row>
    <row r="73" spans="10:54" x14ac:dyDescent="0.25">
      <c r="J73" s="71"/>
      <c r="K73" s="71"/>
      <c r="M73" s="77"/>
      <c r="AN73" t="s">
        <v>1019</v>
      </c>
    </row>
    <row r="74" spans="10:54" x14ac:dyDescent="0.25">
      <c r="J74" s="71"/>
      <c r="K74" s="71"/>
      <c r="M74" s="77"/>
      <c r="AN74" t="s">
        <v>934</v>
      </c>
    </row>
    <row r="75" spans="10:54" x14ac:dyDescent="0.25">
      <c r="J75" s="71"/>
      <c r="K75" s="71"/>
      <c r="M75" s="77"/>
      <c r="AN75" t="s">
        <v>933</v>
      </c>
    </row>
    <row r="76" spans="10:54" x14ac:dyDescent="0.25">
      <c r="J76" s="71"/>
      <c r="K76" s="71"/>
      <c r="M76" s="77"/>
      <c r="AN76" t="s">
        <v>1020</v>
      </c>
    </row>
    <row r="77" spans="10:54" x14ac:dyDescent="0.25">
      <c r="J77" s="71"/>
      <c r="K77" s="71"/>
      <c r="M77" s="77"/>
      <c r="AN77" t="s">
        <v>1021</v>
      </c>
    </row>
    <row r="78" spans="10:54" x14ac:dyDescent="0.25">
      <c r="J78" s="71"/>
      <c r="K78" s="71"/>
      <c r="M78" s="77"/>
      <c r="AN78" t="s">
        <v>1022</v>
      </c>
    </row>
    <row r="79" spans="10:54" x14ac:dyDescent="0.25">
      <c r="J79" s="71"/>
      <c r="K79" s="71"/>
      <c r="M79" s="77"/>
    </row>
    <row r="80" spans="10:54" x14ac:dyDescent="0.25">
      <c r="J80" s="71"/>
      <c r="K80" s="71"/>
      <c r="M80" s="77"/>
    </row>
    <row r="81" spans="10:13" x14ac:dyDescent="0.25">
      <c r="J81" s="71"/>
      <c r="K81" s="71"/>
      <c r="M81" s="77"/>
    </row>
    <row r="82" spans="10:13" x14ac:dyDescent="0.25">
      <c r="J82" s="71"/>
      <c r="K82" s="71"/>
      <c r="M82" s="77"/>
    </row>
    <row r="83" spans="10:13" x14ac:dyDescent="0.25">
      <c r="J83" s="71"/>
      <c r="K83" s="71"/>
      <c r="M83" s="77"/>
    </row>
    <row r="84" spans="10:13" x14ac:dyDescent="0.25">
      <c r="J84" s="71"/>
      <c r="K84" s="71"/>
      <c r="M84" s="77"/>
    </row>
    <row r="85" spans="10:13" x14ac:dyDescent="0.25">
      <c r="J85" s="71"/>
      <c r="K85" s="71"/>
      <c r="M85" s="77"/>
    </row>
    <row r="86" spans="10:13" x14ac:dyDescent="0.25">
      <c r="J86" s="71"/>
      <c r="K86" s="71"/>
      <c r="M86" s="77"/>
    </row>
    <row r="87" spans="10:13" x14ac:dyDescent="0.25">
      <c r="J87" s="71"/>
      <c r="K87" s="71"/>
      <c r="M87" s="77"/>
    </row>
    <row r="88" spans="10:13" x14ac:dyDescent="0.25">
      <c r="J88" s="71"/>
      <c r="K88" s="71"/>
      <c r="M88" s="77"/>
    </row>
    <row r="89" spans="10:13" x14ac:dyDescent="0.25">
      <c r="J89" s="71"/>
      <c r="K89" s="71"/>
      <c r="M89" s="77"/>
    </row>
    <row r="90" spans="10:13" x14ac:dyDescent="0.25">
      <c r="J90" s="71"/>
      <c r="K90" s="71"/>
      <c r="M90" s="77"/>
    </row>
    <row r="91" spans="10:13" x14ac:dyDescent="0.25">
      <c r="J91" s="71"/>
      <c r="K91" s="71"/>
      <c r="M91" s="77"/>
    </row>
    <row r="92" spans="10:13" x14ac:dyDescent="0.25">
      <c r="J92" s="71"/>
      <c r="K92" s="71"/>
      <c r="M92" s="77"/>
    </row>
    <row r="93" spans="10:13" x14ac:dyDescent="0.25">
      <c r="J93" s="71"/>
      <c r="K93" s="71"/>
      <c r="M93" s="77"/>
    </row>
    <row r="94" spans="10:13" x14ac:dyDescent="0.25">
      <c r="J94" s="71"/>
      <c r="K94" s="71"/>
      <c r="M94" s="77"/>
    </row>
    <row r="95" spans="10:13" x14ac:dyDescent="0.25">
      <c r="J95" s="71"/>
      <c r="K95" s="71"/>
      <c r="M95" s="77"/>
    </row>
    <row r="96" spans="10:13" x14ac:dyDescent="0.25">
      <c r="J96" s="71"/>
      <c r="K96" s="71"/>
      <c r="M96" s="77"/>
    </row>
    <row r="97" spans="10:13" x14ac:dyDescent="0.25">
      <c r="J97" s="71"/>
      <c r="K97" s="71"/>
      <c r="M97" s="77"/>
    </row>
    <row r="98" spans="10:13" x14ac:dyDescent="0.25">
      <c r="J98" s="71"/>
      <c r="K98" s="71"/>
      <c r="M98" s="77"/>
    </row>
    <row r="99" spans="10:13" x14ac:dyDescent="0.25">
      <c r="J99" s="71"/>
      <c r="K99" s="71"/>
      <c r="M99" s="77"/>
    </row>
    <row r="100" spans="10:13" x14ac:dyDescent="0.25">
      <c r="J100" s="71"/>
      <c r="K100" s="71"/>
      <c r="M100" s="77"/>
    </row>
    <row r="101" spans="10:13" x14ac:dyDescent="0.25">
      <c r="J101" s="71"/>
      <c r="K101" s="71"/>
      <c r="M101" s="77"/>
    </row>
    <row r="102" spans="10:13" x14ac:dyDescent="0.25">
      <c r="J102" s="71"/>
      <c r="K102" s="71"/>
      <c r="M102" s="77"/>
    </row>
    <row r="103" spans="10:13" x14ac:dyDescent="0.25">
      <c r="J103" s="71"/>
      <c r="K103" s="71"/>
      <c r="M103" s="77"/>
    </row>
    <row r="104" spans="10:13" x14ac:dyDescent="0.25">
      <c r="J104" s="71"/>
      <c r="K104" s="71"/>
      <c r="M104" s="77"/>
    </row>
    <row r="105" spans="10:13" x14ac:dyDescent="0.25">
      <c r="J105" s="71"/>
      <c r="K105" s="71"/>
      <c r="M105" s="77"/>
    </row>
    <row r="106" spans="10:13" x14ac:dyDescent="0.25">
      <c r="J106" s="71"/>
      <c r="K106" s="71"/>
      <c r="M106" s="77"/>
    </row>
    <row r="107" spans="10:13" x14ac:dyDescent="0.25">
      <c r="J107" s="71"/>
      <c r="K107" s="71"/>
      <c r="M107" s="77"/>
    </row>
    <row r="108" spans="10:13" x14ac:dyDescent="0.25">
      <c r="J108" s="71"/>
      <c r="K108" s="71"/>
      <c r="M108" s="77"/>
    </row>
    <row r="109" spans="10:13" x14ac:dyDescent="0.25">
      <c r="J109" s="71"/>
      <c r="K109" s="71"/>
      <c r="M109" s="77"/>
    </row>
    <row r="110" spans="10:13" x14ac:dyDescent="0.25">
      <c r="J110" s="71"/>
      <c r="K110" s="71"/>
      <c r="M110" s="77"/>
    </row>
    <row r="111" spans="10:13" x14ac:dyDescent="0.25">
      <c r="J111" s="71"/>
      <c r="K111" s="71"/>
      <c r="M111" s="77"/>
    </row>
    <row r="112" spans="10:13" x14ac:dyDescent="0.25">
      <c r="J112" s="71"/>
      <c r="K112" s="71"/>
      <c r="M112" s="77"/>
    </row>
    <row r="113" spans="10:13" x14ac:dyDescent="0.25">
      <c r="M113" s="77"/>
    </row>
    <row r="114" spans="10:13" x14ac:dyDescent="0.25">
      <c r="J114" s="71"/>
      <c r="K114" s="71"/>
      <c r="M114" s="77"/>
    </row>
    <row r="115" spans="10:13" x14ac:dyDescent="0.25">
      <c r="M115" s="77"/>
    </row>
    <row r="116" spans="10:13" x14ac:dyDescent="0.25">
      <c r="M116" s="77"/>
    </row>
    <row r="117" spans="10:13" x14ac:dyDescent="0.25">
      <c r="M117" s="77"/>
    </row>
    <row r="118" spans="10:13" x14ac:dyDescent="0.25">
      <c r="M118" s="77"/>
    </row>
    <row r="119" spans="10:13" x14ac:dyDescent="0.25">
      <c r="M119" s="77"/>
    </row>
    <row r="120" spans="10:13" x14ac:dyDescent="0.25">
      <c r="M120" s="77"/>
    </row>
    <row r="121" spans="10:13" x14ac:dyDescent="0.25">
      <c r="M121" s="77"/>
    </row>
    <row r="122" spans="10:13" x14ac:dyDescent="0.25">
      <c r="M122" s="77"/>
    </row>
    <row r="123" spans="10:13" x14ac:dyDescent="0.25">
      <c r="M123" s="77"/>
    </row>
    <row r="124" spans="10:13" x14ac:dyDescent="0.25">
      <c r="M124" s="77"/>
    </row>
    <row r="125" spans="10:13" x14ac:dyDescent="0.25">
      <c r="M125" s="77"/>
    </row>
    <row r="126" spans="10:13" x14ac:dyDescent="0.25">
      <c r="M126" s="77"/>
    </row>
    <row r="127" spans="10:13" x14ac:dyDescent="0.25">
      <c r="M127" s="77"/>
    </row>
    <row r="128" spans="10:13" x14ac:dyDescent="0.25">
      <c r="M128" s="77"/>
    </row>
    <row r="129" spans="13:13" x14ac:dyDescent="0.25">
      <c r="M129" s="77"/>
    </row>
    <row r="130" spans="13:13" x14ac:dyDescent="0.25">
      <c r="M130" s="77"/>
    </row>
    <row r="131" spans="13:13" x14ac:dyDescent="0.25">
      <c r="M131" s="77"/>
    </row>
    <row r="132" spans="13:13" x14ac:dyDescent="0.25">
      <c r="M132" s="77"/>
    </row>
    <row r="133" spans="13:13" x14ac:dyDescent="0.25">
      <c r="M133" s="77"/>
    </row>
    <row r="134" spans="13:13" x14ac:dyDescent="0.25">
      <c r="M134" s="77"/>
    </row>
    <row r="135" spans="13:13" x14ac:dyDescent="0.25">
      <c r="M135" s="77"/>
    </row>
    <row r="136" spans="13:13" x14ac:dyDescent="0.25">
      <c r="M136" s="77"/>
    </row>
    <row r="137" spans="13:13" x14ac:dyDescent="0.25">
      <c r="M137" s="77"/>
    </row>
    <row r="138" spans="13:13" x14ac:dyDescent="0.25">
      <c r="M138" s="77"/>
    </row>
    <row r="139" spans="13:13" x14ac:dyDescent="0.25">
      <c r="M139" s="77"/>
    </row>
    <row r="140" spans="13:13" x14ac:dyDescent="0.25">
      <c r="M140" s="77"/>
    </row>
    <row r="141" spans="13:13" x14ac:dyDescent="0.25">
      <c r="M141" s="77"/>
    </row>
    <row r="142" spans="13:13" x14ac:dyDescent="0.25">
      <c r="M142" s="77"/>
    </row>
    <row r="143" spans="13:13" x14ac:dyDescent="0.25">
      <c r="M143" s="77"/>
    </row>
    <row r="144" spans="13:13" x14ac:dyDescent="0.25">
      <c r="M144" s="77"/>
    </row>
    <row r="145" spans="13:13" x14ac:dyDescent="0.25">
      <c r="M145" s="77"/>
    </row>
    <row r="146" spans="13:13" x14ac:dyDescent="0.25">
      <c r="M146" s="77"/>
    </row>
    <row r="147" spans="13:13" x14ac:dyDescent="0.25">
      <c r="M147" s="77"/>
    </row>
    <row r="148" spans="13:13" x14ac:dyDescent="0.25">
      <c r="M148" s="77"/>
    </row>
    <row r="149" spans="13:13" x14ac:dyDescent="0.25">
      <c r="M149" s="77"/>
    </row>
    <row r="150" spans="13:13" x14ac:dyDescent="0.25">
      <c r="M150" s="77"/>
    </row>
    <row r="151" spans="13:13" x14ac:dyDescent="0.25">
      <c r="M151" s="77"/>
    </row>
    <row r="152" spans="13:13" x14ac:dyDescent="0.25">
      <c r="M152" s="77"/>
    </row>
    <row r="153" spans="13:13" x14ac:dyDescent="0.25">
      <c r="M153" s="77"/>
    </row>
    <row r="154" spans="13:13" x14ac:dyDescent="0.25">
      <c r="M154" s="77"/>
    </row>
    <row r="155" spans="13:13" x14ac:dyDescent="0.25">
      <c r="M155" s="77"/>
    </row>
    <row r="156" spans="13:13" x14ac:dyDescent="0.25">
      <c r="M156" s="77"/>
    </row>
    <row r="157" spans="13:13" x14ac:dyDescent="0.25">
      <c r="M157" s="77"/>
    </row>
    <row r="158" spans="13:13" x14ac:dyDescent="0.25">
      <c r="M158" s="77"/>
    </row>
    <row r="159" spans="13:13" x14ac:dyDescent="0.25">
      <c r="M159" s="77"/>
    </row>
    <row r="160" spans="13:13" x14ac:dyDescent="0.25">
      <c r="M160" s="77"/>
    </row>
    <row r="161" spans="13:13" x14ac:dyDescent="0.25">
      <c r="M161" s="77"/>
    </row>
    <row r="162" spans="13:13" x14ac:dyDescent="0.25">
      <c r="M162" s="77"/>
    </row>
    <row r="163" spans="13:13" x14ac:dyDescent="0.25">
      <c r="M163" s="77"/>
    </row>
    <row r="164" spans="13:13" x14ac:dyDescent="0.25">
      <c r="M164" s="77"/>
    </row>
    <row r="165" spans="13:13" x14ac:dyDescent="0.25">
      <c r="M165" s="77"/>
    </row>
    <row r="166" spans="13:13" x14ac:dyDescent="0.25">
      <c r="M166" s="77"/>
    </row>
    <row r="167" spans="13:13" x14ac:dyDescent="0.25">
      <c r="M167" s="77"/>
    </row>
    <row r="168" spans="13:13" x14ac:dyDescent="0.25">
      <c r="M168" s="77"/>
    </row>
    <row r="169" spans="13:13" x14ac:dyDescent="0.25">
      <c r="M169" s="77"/>
    </row>
    <row r="170" spans="13:13" x14ac:dyDescent="0.25">
      <c r="M170" s="77"/>
    </row>
    <row r="171" spans="13:13" x14ac:dyDescent="0.25">
      <c r="M171" s="77"/>
    </row>
    <row r="172" spans="13:13" x14ac:dyDescent="0.25">
      <c r="M172" s="77"/>
    </row>
    <row r="173" spans="13:13" x14ac:dyDescent="0.25">
      <c r="M173" s="77"/>
    </row>
    <row r="174" spans="13:13" x14ac:dyDescent="0.25">
      <c r="M174" s="77"/>
    </row>
    <row r="175" spans="13:13" x14ac:dyDescent="0.25">
      <c r="M175" s="77"/>
    </row>
    <row r="176" spans="13:13" x14ac:dyDescent="0.25">
      <c r="M176" s="77"/>
    </row>
    <row r="177" spans="13:13" x14ac:dyDescent="0.25">
      <c r="M177" s="77"/>
    </row>
    <row r="178" spans="13:13" x14ac:dyDescent="0.25">
      <c r="M178" s="77"/>
    </row>
    <row r="179" spans="13:13" x14ac:dyDescent="0.25">
      <c r="M179" s="77"/>
    </row>
    <row r="180" spans="13:13" x14ac:dyDescent="0.25">
      <c r="M180" s="77"/>
    </row>
    <row r="181" spans="13:13" x14ac:dyDescent="0.25">
      <c r="M181" s="77"/>
    </row>
    <row r="182" spans="13:13" x14ac:dyDescent="0.25">
      <c r="M182" s="77"/>
    </row>
    <row r="183" spans="13:13" x14ac:dyDescent="0.25">
      <c r="M183" s="77"/>
    </row>
    <row r="184" spans="13:13" x14ac:dyDescent="0.25">
      <c r="M184" s="77"/>
    </row>
    <row r="185" spans="13:13" x14ac:dyDescent="0.25">
      <c r="M185" s="77"/>
    </row>
    <row r="186" spans="13:13" x14ac:dyDescent="0.25">
      <c r="M186" s="77"/>
    </row>
    <row r="187" spans="13:13" x14ac:dyDescent="0.25">
      <c r="M187" s="77"/>
    </row>
    <row r="188" spans="13:13" x14ac:dyDescent="0.25">
      <c r="M188" s="77"/>
    </row>
    <row r="189" spans="13:13" x14ac:dyDescent="0.25">
      <c r="M189" s="77"/>
    </row>
    <row r="190" spans="13:13" x14ac:dyDescent="0.25">
      <c r="M190" s="77"/>
    </row>
    <row r="191" spans="13:13" x14ac:dyDescent="0.25">
      <c r="M191" s="77"/>
    </row>
    <row r="192" spans="13:13" x14ac:dyDescent="0.25">
      <c r="M192" s="77"/>
    </row>
    <row r="193" spans="13:13" x14ac:dyDescent="0.25">
      <c r="M193" s="77"/>
    </row>
    <row r="194" spans="13:13" x14ac:dyDescent="0.25">
      <c r="M194" s="77"/>
    </row>
  </sheetData>
  <sortState xmlns:xlrd2="http://schemas.microsoft.com/office/spreadsheetml/2017/richdata2" ref="S3:U7">
    <sortCondition ref="S3"/>
  </sortState>
  <phoneticPr fontId="1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CS"/>
  <dimension ref="A1:AE114"/>
  <sheetViews>
    <sheetView workbookViewId="0">
      <selection activeCell="A2" sqref="A2"/>
    </sheetView>
  </sheetViews>
  <sheetFormatPr defaultRowHeight="15" x14ac:dyDescent="0.25"/>
  <cols>
    <col min="1" max="1" width="31.5703125" bestFit="1" customWidth="1"/>
    <col min="2" max="2" width="15.42578125" bestFit="1" customWidth="1"/>
    <col min="3" max="3" width="18.5703125" bestFit="1" customWidth="1"/>
    <col min="4" max="6" width="15.42578125" bestFit="1" customWidth="1"/>
    <col min="7" max="7" width="19" bestFit="1" customWidth="1"/>
    <col min="8" max="8" width="36.5703125" bestFit="1" customWidth="1"/>
    <col min="9" max="9" width="26.140625" bestFit="1" customWidth="1"/>
    <col min="10" max="10" width="16" bestFit="1" customWidth="1"/>
    <col min="11" max="11" width="18.5703125" bestFit="1" customWidth="1"/>
    <col min="12" max="12" width="18.140625" bestFit="1" customWidth="1"/>
    <col min="13" max="13" width="17.5703125" bestFit="1" customWidth="1"/>
    <col min="14" max="14" width="15.42578125" bestFit="1" customWidth="1"/>
    <col min="15" max="15" width="28.28515625" bestFit="1" customWidth="1"/>
    <col min="16" max="16" width="16.85546875" bestFit="1" customWidth="1"/>
    <col min="17" max="18" width="15.42578125" bestFit="1" customWidth="1"/>
    <col min="19" max="19" width="30" bestFit="1" customWidth="1"/>
    <col min="20" max="20" width="25.85546875" bestFit="1" customWidth="1"/>
    <col min="21" max="23" width="15.42578125" bestFit="1" customWidth="1"/>
    <col min="24" max="24" width="17.85546875" bestFit="1" customWidth="1"/>
    <col min="25" max="25" width="19.5703125" bestFit="1" customWidth="1"/>
    <col min="26" max="26" width="24" bestFit="1" customWidth="1"/>
    <col min="27" max="27" width="15.5703125" bestFit="1" customWidth="1"/>
    <col min="28" max="28" width="15.42578125" bestFit="1" customWidth="1"/>
    <col min="29" max="29" width="15.7109375" bestFit="1" customWidth="1"/>
    <col min="30" max="30" width="23.5703125" bestFit="1" customWidth="1"/>
    <col min="31" max="31" width="15.42578125" bestFit="1" customWidth="1"/>
  </cols>
  <sheetData>
    <row r="1" spans="1:31" ht="24" x14ac:dyDescent="0.4">
      <c r="A1" s="5" t="s">
        <v>882</v>
      </c>
    </row>
    <row r="2" spans="1:31" x14ac:dyDescent="0.25">
      <c r="A2" s="3" t="s">
        <v>122</v>
      </c>
      <c r="B2" s="3" t="s">
        <v>123</v>
      </c>
      <c r="C2" s="3" t="s">
        <v>124</v>
      </c>
      <c r="D2" s="3" t="s">
        <v>125</v>
      </c>
      <c r="E2" s="3" t="s">
        <v>126</v>
      </c>
      <c r="F2" s="3" t="s">
        <v>127</v>
      </c>
      <c r="G2" s="3" t="s">
        <v>128</v>
      </c>
      <c r="H2" s="3" t="s">
        <v>26</v>
      </c>
      <c r="I2" s="3" t="s">
        <v>129</v>
      </c>
      <c r="J2" s="3" t="s">
        <v>130</v>
      </c>
      <c r="K2" s="3" t="s">
        <v>131</v>
      </c>
      <c r="L2" s="3" t="s">
        <v>132</v>
      </c>
      <c r="M2" s="3" t="s">
        <v>133</v>
      </c>
      <c r="N2" s="3" t="s">
        <v>134</v>
      </c>
      <c r="O2" s="3" t="s">
        <v>135</v>
      </c>
      <c r="P2" s="3" t="s">
        <v>136</v>
      </c>
      <c r="Q2" s="3" t="s">
        <v>137</v>
      </c>
      <c r="R2" s="3" t="s">
        <v>138</v>
      </c>
      <c r="S2" s="3" t="s">
        <v>139</v>
      </c>
      <c r="T2" s="3" t="s">
        <v>140</v>
      </c>
      <c r="U2" s="3" t="s">
        <v>141</v>
      </c>
      <c r="V2" s="3" t="s">
        <v>142</v>
      </c>
      <c r="W2" s="3" t="s">
        <v>143</v>
      </c>
      <c r="X2" s="3" t="s">
        <v>144</v>
      </c>
      <c r="Y2" s="3" t="s">
        <v>145</v>
      </c>
      <c r="Z2" s="3" t="s">
        <v>146</v>
      </c>
      <c r="AA2" s="3" t="s">
        <v>147</v>
      </c>
      <c r="AB2" s="3" t="s">
        <v>148</v>
      </c>
      <c r="AC2" s="3" t="s">
        <v>149</v>
      </c>
      <c r="AD2" s="3" t="s">
        <v>150</v>
      </c>
      <c r="AE2" s="3" t="s">
        <v>151</v>
      </c>
    </row>
    <row r="3" spans="1:31" x14ac:dyDescent="0.25">
      <c r="A3" t="s">
        <v>152</v>
      </c>
      <c r="B3" t="s">
        <v>154</v>
      </c>
      <c r="C3" t="s">
        <v>155</v>
      </c>
      <c r="D3" t="s">
        <v>156</v>
      </c>
      <c r="E3" t="s">
        <v>157</v>
      </c>
      <c r="F3" t="s">
        <v>158</v>
      </c>
      <c r="G3" t="s">
        <v>159</v>
      </c>
      <c r="H3" t="s">
        <v>79</v>
      </c>
      <c r="I3" t="s">
        <v>160</v>
      </c>
      <c r="J3" t="s">
        <v>161</v>
      </c>
      <c r="K3" t="s">
        <v>162</v>
      </c>
      <c r="L3" t="s">
        <v>163</v>
      </c>
      <c r="M3" t="s">
        <v>164</v>
      </c>
      <c r="N3" t="s">
        <v>165</v>
      </c>
      <c r="O3" t="s">
        <v>166</v>
      </c>
      <c r="P3" t="s">
        <v>167</v>
      </c>
      <c r="Q3" t="s">
        <v>168</v>
      </c>
      <c r="R3" t="s">
        <v>169</v>
      </c>
      <c r="S3" t="s">
        <v>170</v>
      </c>
      <c r="T3" t="s">
        <v>171</v>
      </c>
      <c r="U3" t="s">
        <v>172</v>
      </c>
      <c r="V3" t="s">
        <v>173</v>
      </c>
      <c r="W3" t="s">
        <v>174</v>
      </c>
      <c r="X3" t="s">
        <v>175</v>
      </c>
      <c r="Y3" t="s">
        <v>176</v>
      </c>
      <c r="Z3" t="s">
        <v>177</v>
      </c>
      <c r="AA3" t="s">
        <v>178</v>
      </c>
      <c r="AB3" t="s">
        <v>179</v>
      </c>
      <c r="AC3" t="s">
        <v>180</v>
      </c>
      <c r="AD3" t="s">
        <v>181</v>
      </c>
      <c r="AE3" t="s">
        <v>156</v>
      </c>
    </row>
    <row r="4" spans="1:31" x14ac:dyDescent="0.25">
      <c r="A4" t="s">
        <v>153</v>
      </c>
      <c r="B4" t="s">
        <v>183</v>
      </c>
      <c r="C4" t="s">
        <v>184</v>
      </c>
      <c r="D4" t="s">
        <v>185</v>
      </c>
      <c r="E4" t="s">
        <v>186</v>
      </c>
      <c r="F4" t="s">
        <v>187</v>
      </c>
      <c r="G4" t="s">
        <v>188</v>
      </c>
      <c r="H4" t="s">
        <v>80</v>
      </c>
      <c r="I4" t="s">
        <v>189</v>
      </c>
      <c r="J4" t="s">
        <v>190</v>
      </c>
      <c r="K4" t="s">
        <v>191</v>
      </c>
      <c r="L4" t="s">
        <v>192</v>
      </c>
      <c r="M4" t="s">
        <v>193</v>
      </c>
      <c r="N4" t="s">
        <v>194</v>
      </c>
      <c r="O4" t="s">
        <v>195</v>
      </c>
      <c r="P4" t="s">
        <v>196</v>
      </c>
      <c r="Q4" t="s">
        <v>197</v>
      </c>
      <c r="R4" t="s">
        <v>198</v>
      </c>
      <c r="S4" t="s">
        <v>199</v>
      </c>
      <c r="T4" t="s">
        <v>200</v>
      </c>
      <c r="U4" t="s">
        <v>201</v>
      </c>
      <c r="V4" t="s">
        <v>202</v>
      </c>
      <c r="W4" t="s">
        <v>203</v>
      </c>
      <c r="X4" t="s">
        <v>204</v>
      </c>
      <c r="Y4" t="s">
        <v>205</v>
      </c>
      <c r="Z4" t="s">
        <v>206</v>
      </c>
      <c r="AA4" t="s">
        <v>207</v>
      </c>
      <c r="AB4" t="s">
        <v>208</v>
      </c>
      <c r="AC4" t="s">
        <v>209</v>
      </c>
      <c r="AD4" t="s">
        <v>210</v>
      </c>
      <c r="AE4" t="s">
        <v>211</v>
      </c>
    </row>
    <row r="5" spans="1:31" x14ac:dyDescent="0.25">
      <c r="A5" t="s">
        <v>182</v>
      </c>
      <c r="B5" t="s">
        <v>213</v>
      </c>
      <c r="C5" t="s">
        <v>214</v>
      </c>
      <c r="D5" t="s">
        <v>215</v>
      </c>
      <c r="E5" t="s">
        <v>216</v>
      </c>
      <c r="F5" t="s">
        <v>156</v>
      </c>
      <c r="G5" t="s">
        <v>217</v>
      </c>
      <c r="H5" t="s">
        <v>81</v>
      </c>
      <c r="I5" t="s">
        <v>218</v>
      </c>
      <c r="J5" t="s">
        <v>219</v>
      </c>
      <c r="K5" t="s">
        <v>220</v>
      </c>
      <c r="L5" t="s">
        <v>221</v>
      </c>
      <c r="M5" t="s">
        <v>222</v>
      </c>
      <c r="N5" t="s">
        <v>223</v>
      </c>
      <c r="O5" t="s">
        <v>224</v>
      </c>
      <c r="P5" t="s">
        <v>225</v>
      </c>
      <c r="Q5" t="s">
        <v>226</v>
      </c>
      <c r="R5" t="s">
        <v>227</v>
      </c>
      <c r="S5" t="s">
        <v>228</v>
      </c>
      <c r="T5" t="s">
        <v>229</v>
      </c>
      <c r="U5" t="s">
        <v>230</v>
      </c>
      <c r="V5" t="s">
        <v>231</v>
      </c>
      <c r="W5" t="s">
        <v>232</v>
      </c>
      <c r="X5" t="s">
        <v>233</v>
      </c>
      <c r="Y5" t="s">
        <v>234</v>
      </c>
      <c r="Z5" t="s">
        <v>235</v>
      </c>
      <c r="AA5" t="s">
        <v>236</v>
      </c>
      <c r="AB5" t="s">
        <v>237</v>
      </c>
      <c r="AC5" t="s">
        <v>238</v>
      </c>
      <c r="AD5" t="s">
        <v>239</v>
      </c>
      <c r="AE5" t="s">
        <v>240</v>
      </c>
    </row>
    <row r="6" spans="1:31" x14ac:dyDescent="0.25">
      <c r="A6" t="s">
        <v>212</v>
      </c>
      <c r="B6" t="s">
        <v>242</v>
      </c>
      <c r="C6" t="s">
        <v>243</v>
      </c>
      <c r="D6" t="s">
        <v>244</v>
      </c>
      <c r="E6" t="s">
        <v>245</v>
      </c>
      <c r="F6" t="s">
        <v>240</v>
      </c>
      <c r="G6" t="s">
        <v>246</v>
      </c>
      <c r="H6" t="s">
        <v>82</v>
      </c>
      <c r="I6" t="s">
        <v>247</v>
      </c>
      <c r="J6" t="s">
        <v>248</v>
      </c>
      <c r="K6" t="s">
        <v>249</v>
      </c>
      <c r="L6" t="s">
        <v>250</v>
      </c>
      <c r="M6" t="s">
        <v>251</v>
      </c>
      <c r="N6" t="s">
        <v>252</v>
      </c>
      <c r="O6" t="s">
        <v>253</v>
      </c>
      <c r="P6" t="s">
        <v>254</v>
      </c>
      <c r="Q6" t="s">
        <v>255</v>
      </c>
      <c r="R6" t="s">
        <v>256</v>
      </c>
      <c r="S6" t="s">
        <v>257</v>
      </c>
      <c r="T6" t="s">
        <v>258</v>
      </c>
      <c r="U6" t="s">
        <v>259</v>
      </c>
      <c r="V6" t="s">
        <v>260</v>
      </c>
      <c r="W6" t="s">
        <v>261</v>
      </c>
      <c r="X6" t="s">
        <v>262</v>
      </c>
      <c r="Y6" t="s">
        <v>263</v>
      </c>
      <c r="Z6" t="s">
        <v>264</v>
      </c>
      <c r="AA6" t="s">
        <v>265</v>
      </c>
      <c r="AB6" t="s">
        <v>266</v>
      </c>
      <c r="AC6" t="s">
        <v>267</v>
      </c>
      <c r="AD6" t="s">
        <v>268</v>
      </c>
      <c r="AE6" t="s">
        <v>269</v>
      </c>
    </row>
    <row r="7" spans="1:31" x14ac:dyDescent="0.25">
      <c r="A7" t="s">
        <v>241</v>
      </c>
      <c r="B7" t="s">
        <v>270</v>
      </c>
      <c r="C7" t="s">
        <v>271</v>
      </c>
      <c r="D7" t="s">
        <v>272</v>
      </c>
      <c r="E7" t="s">
        <v>273</v>
      </c>
      <c r="F7" t="s">
        <v>274</v>
      </c>
      <c r="G7" t="s">
        <v>275</v>
      </c>
      <c r="H7" t="s">
        <v>83</v>
      </c>
      <c r="I7" t="s">
        <v>276</v>
      </c>
      <c r="J7" t="s">
        <v>277</v>
      </c>
      <c r="L7" t="s">
        <v>278</v>
      </c>
      <c r="M7" t="s">
        <v>279</v>
      </c>
      <c r="N7" t="s">
        <v>280</v>
      </c>
      <c r="O7" t="s">
        <v>281</v>
      </c>
      <c r="P7" t="s">
        <v>282</v>
      </c>
      <c r="Q7" t="s">
        <v>283</v>
      </c>
      <c r="R7" t="s">
        <v>284</v>
      </c>
      <c r="S7" t="s">
        <v>285</v>
      </c>
      <c r="T7" t="s">
        <v>286</v>
      </c>
      <c r="U7" t="s">
        <v>287</v>
      </c>
      <c r="V7" t="s">
        <v>288</v>
      </c>
      <c r="W7" t="s">
        <v>289</v>
      </c>
      <c r="X7" t="s">
        <v>290</v>
      </c>
      <c r="Y7" t="s">
        <v>291</v>
      </c>
      <c r="Z7" t="s">
        <v>292</v>
      </c>
      <c r="AA7" t="s">
        <v>293</v>
      </c>
      <c r="AB7" t="s">
        <v>294</v>
      </c>
      <c r="AD7" t="s">
        <v>295</v>
      </c>
      <c r="AE7" t="s">
        <v>296</v>
      </c>
    </row>
    <row r="8" spans="1:31" x14ac:dyDescent="0.25">
      <c r="A8" t="s">
        <v>123</v>
      </c>
      <c r="B8" t="s">
        <v>298</v>
      </c>
      <c r="C8" t="s">
        <v>299</v>
      </c>
      <c r="D8" t="s">
        <v>300</v>
      </c>
      <c r="E8" t="s">
        <v>301</v>
      </c>
      <c r="F8" t="s">
        <v>220</v>
      </c>
      <c r="G8" t="s">
        <v>302</v>
      </c>
      <c r="H8" t="s">
        <v>84</v>
      </c>
      <c r="I8" t="s">
        <v>303</v>
      </c>
      <c r="J8" t="s">
        <v>304</v>
      </c>
      <c r="L8" t="s">
        <v>305</v>
      </c>
      <c r="M8" t="s">
        <v>306</v>
      </c>
      <c r="N8" t="s">
        <v>307</v>
      </c>
      <c r="O8" t="s">
        <v>308</v>
      </c>
      <c r="P8" t="s">
        <v>309</v>
      </c>
      <c r="Q8" t="s">
        <v>310</v>
      </c>
      <c r="R8" t="s">
        <v>311</v>
      </c>
      <c r="S8" t="s">
        <v>312</v>
      </c>
      <c r="T8" t="s">
        <v>313</v>
      </c>
      <c r="U8" t="s">
        <v>314</v>
      </c>
      <c r="V8" t="s">
        <v>315</v>
      </c>
      <c r="W8" t="s">
        <v>316</v>
      </c>
      <c r="X8" t="s">
        <v>317</v>
      </c>
      <c r="Y8" t="s">
        <v>318</v>
      </c>
      <c r="Z8" t="s">
        <v>319</v>
      </c>
      <c r="AA8" t="s">
        <v>320</v>
      </c>
      <c r="AB8" t="s">
        <v>321</v>
      </c>
      <c r="AD8" t="s">
        <v>322</v>
      </c>
      <c r="AE8" t="s">
        <v>323</v>
      </c>
    </row>
    <row r="9" spans="1:31" x14ac:dyDescent="0.25">
      <c r="A9" t="s">
        <v>297</v>
      </c>
      <c r="B9" t="s">
        <v>325</v>
      </c>
      <c r="C9" t="s">
        <v>326</v>
      </c>
      <c r="D9" t="s">
        <v>327</v>
      </c>
      <c r="E9" t="s">
        <v>328</v>
      </c>
      <c r="F9" t="s">
        <v>329</v>
      </c>
      <c r="G9" t="s">
        <v>330</v>
      </c>
      <c r="H9" t="s">
        <v>85</v>
      </c>
      <c r="I9" t="s">
        <v>331</v>
      </c>
      <c r="J9" t="s">
        <v>332</v>
      </c>
      <c r="M9" t="s">
        <v>333</v>
      </c>
      <c r="N9" t="s">
        <v>334</v>
      </c>
      <c r="O9" t="s">
        <v>335</v>
      </c>
      <c r="P9" t="s">
        <v>336</v>
      </c>
      <c r="Q9" t="s">
        <v>337</v>
      </c>
      <c r="R9" t="s">
        <v>338</v>
      </c>
      <c r="S9" t="s">
        <v>339</v>
      </c>
      <c r="T9" t="s">
        <v>340</v>
      </c>
      <c r="U9" t="s">
        <v>341</v>
      </c>
      <c r="V9" t="s">
        <v>342</v>
      </c>
      <c r="W9" t="s">
        <v>343</v>
      </c>
      <c r="X9" t="s">
        <v>344</v>
      </c>
      <c r="Y9" t="s">
        <v>345</v>
      </c>
      <c r="Z9" t="s">
        <v>346</v>
      </c>
      <c r="AA9" t="s">
        <v>347</v>
      </c>
      <c r="AB9" t="s">
        <v>348</v>
      </c>
      <c r="AD9" t="s">
        <v>349</v>
      </c>
      <c r="AE9" t="s">
        <v>220</v>
      </c>
    </row>
    <row r="10" spans="1:31" x14ac:dyDescent="0.25">
      <c r="A10" t="s">
        <v>324</v>
      </c>
      <c r="B10" t="s">
        <v>350</v>
      </c>
      <c r="C10" t="s">
        <v>351</v>
      </c>
      <c r="D10" t="s">
        <v>352</v>
      </c>
      <c r="E10" t="s">
        <v>353</v>
      </c>
      <c r="F10" t="s">
        <v>354</v>
      </c>
      <c r="G10" t="s">
        <v>355</v>
      </c>
      <c r="H10" t="s">
        <v>86</v>
      </c>
      <c r="I10" t="s">
        <v>356</v>
      </c>
      <c r="J10" t="s">
        <v>357</v>
      </c>
      <c r="M10" t="s">
        <v>358</v>
      </c>
      <c r="N10" t="s">
        <v>359</v>
      </c>
      <c r="O10" t="s">
        <v>360</v>
      </c>
      <c r="P10" t="s">
        <v>361</v>
      </c>
      <c r="R10" t="s">
        <v>362</v>
      </c>
      <c r="S10" t="s">
        <v>363</v>
      </c>
      <c r="T10" t="s">
        <v>364</v>
      </c>
      <c r="U10" t="s">
        <v>365</v>
      </c>
      <c r="V10" t="s">
        <v>366</v>
      </c>
      <c r="W10" t="s">
        <v>367</v>
      </c>
      <c r="X10" t="s">
        <v>368</v>
      </c>
      <c r="Y10" t="s">
        <v>369</v>
      </c>
      <c r="Z10" t="s">
        <v>370</v>
      </c>
      <c r="AB10" t="s">
        <v>371</v>
      </c>
      <c r="AD10" t="s">
        <v>372</v>
      </c>
      <c r="AE10" t="s">
        <v>373</v>
      </c>
    </row>
    <row r="11" spans="1:31" x14ac:dyDescent="0.25">
      <c r="A11" t="s">
        <v>124</v>
      </c>
      <c r="C11" t="s">
        <v>375</v>
      </c>
      <c r="D11" t="s">
        <v>376</v>
      </c>
      <c r="E11" t="s">
        <v>377</v>
      </c>
      <c r="F11" t="s">
        <v>378</v>
      </c>
      <c r="G11" t="s">
        <v>379</v>
      </c>
      <c r="H11" t="s">
        <v>87</v>
      </c>
      <c r="I11" t="s">
        <v>380</v>
      </c>
      <c r="J11" t="s">
        <v>381</v>
      </c>
      <c r="M11" t="s">
        <v>382</v>
      </c>
      <c r="N11" t="s">
        <v>383</v>
      </c>
      <c r="O11" t="s">
        <v>384</v>
      </c>
      <c r="P11" t="s">
        <v>385</v>
      </c>
      <c r="R11" t="s">
        <v>386</v>
      </c>
      <c r="S11" t="s">
        <v>387</v>
      </c>
      <c r="U11" t="s">
        <v>388</v>
      </c>
      <c r="V11" t="s">
        <v>389</v>
      </c>
      <c r="W11" t="s">
        <v>390</v>
      </c>
      <c r="X11" t="s">
        <v>391</v>
      </c>
      <c r="Y11" t="s">
        <v>392</v>
      </c>
      <c r="Z11" t="s">
        <v>393</v>
      </c>
      <c r="AB11" t="s">
        <v>394</v>
      </c>
      <c r="AD11" t="s">
        <v>395</v>
      </c>
      <c r="AE11" t="s">
        <v>249</v>
      </c>
    </row>
    <row r="12" spans="1:31" x14ac:dyDescent="0.25">
      <c r="A12" t="s">
        <v>374</v>
      </c>
      <c r="C12" t="s">
        <v>396</v>
      </c>
      <c r="D12" t="s">
        <v>397</v>
      </c>
      <c r="E12" t="s">
        <v>398</v>
      </c>
      <c r="F12" t="s">
        <v>399</v>
      </c>
      <c r="G12" t="s">
        <v>400</v>
      </c>
      <c r="H12" t="s">
        <v>88</v>
      </c>
      <c r="I12" t="s">
        <v>401</v>
      </c>
      <c r="J12" t="s">
        <v>402</v>
      </c>
      <c r="M12" t="s">
        <v>403</v>
      </c>
      <c r="N12" t="s">
        <v>404</v>
      </c>
      <c r="O12" t="s">
        <v>405</v>
      </c>
      <c r="P12" t="s">
        <v>406</v>
      </c>
      <c r="R12" t="s">
        <v>407</v>
      </c>
      <c r="S12" t="s">
        <v>408</v>
      </c>
      <c r="W12" t="s">
        <v>409</v>
      </c>
      <c r="X12" t="s">
        <v>410</v>
      </c>
      <c r="Y12" t="s">
        <v>411</v>
      </c>
      <c r="Z12" t="s">
        <v>412</v>
      </c>
      <c r="AB12" t="s">
        <v>413</v>
      </c>
      <c r="AD12" t="s">
        <v>414</v>
      </c>
      <c r="AE12" t="s">
        <v>399</v>
      </c>
    </row>
    <row r="13" spans="1:31" x14ac:dyDescent="0.25">
      <c r="A13" t="s">
        <v>125</v>
      </c>
      <c r="C13" t="s">
        <v>416</v>
      </c>
      <c r="D13" t="s">
        <v>417</v>
      </c>
      <c r="E13" t="s">
        <v>418</v>
      </c>
      <c r="G13" t="s">
        <v>249</v>
      </c>
      <c r="H13" t="s">
        <v>89</v>
      </c>
      <c r="I13" t="s">
        <v>419</v>
      </c>
      <c r="J13" t="s">
        <v>420</v>
      </c>
      <c r="M13" t="s">
        <v>421</v>
      </c>
      <c r="N13" t="s">
        <v>422</v>
      </c>
      <c r="O13" t="s">
        <v>423</v>
      </c>
      <c r="P13" t="s">
        <v>424</v>
      </c>
      <c r="R13" t="s">
        <v>425</v>
      </c>
      <c r="S13" t="s">
        <v>426</v>
      </c>
      <c r="W13" t="s">
        <v>427</v>
      </c>
      <c r="X13" t="s">
        <v>428</v>
      </c>
      <c r="Y13" t="s">
        <v>429</v>
      </c>
      <c r="Z13" t="s">
        <v>430</v>
      </c>
      <c r="AB13" t="s">
        <v>431</v>
      </c>
      <c r="AD13" t="s">
        <v>432</v>
      </c>
    </row>
    <row r="14" spans="1:31" x14ac:dyDescent="0.25">
      <c r="A14" t="s">
        <v>415</v>
      </c>
      <c r="C14" t="s">
        <v>434</v>
      </c>
      <c r="D14" t="s">
        <v>435</v>
      </c>
      <c r="E14" t="s">
        <v>436</v>
      </c>
      <c r="G14" t="s">
        <v>437</v>
      </c>
      <c r="H14" t="s">
        <v>90</v>
      </c>
      <c r="I14" t="s">
        <v>438</v>
      </c>
      <c r="J14" t="s">
        <v>439</v>
      </c>
      <c r="M14" t="s">
        <v>440</v>
      </c>
      <c r="N14" t="s">
        <v>441</v>
      </c>
      <c r="O14" t="s">
        <v>442</v>
      </c>
      <c r="P14" t="s">
        <v>443</v>
      </c>
      <c r="R14" t="s">
        <v>444</v>
      </c>
      <c r="S14" t="s">
        <v>445</v>
      </c>
      <c r="W14" t="s">
        <v>446</v>
      </c>
      <c r="Y14" t="s">
        <v>447</v>
      </c>
      <c r="Z14" t="s">
        <v>448</v>
      </c>
      <c r="AB14" t="s">
        <v>449</v>
      </c>
      <c r="AD14" t="s">
        <v>450</v>
      </c>
    </row>
    <row r="15" spans="1:31" x14ac:dyDescent="0.25">
      <c r="A15" t="s">
        <v>433</v>
      </c>
      <c r="C15" t="s">
        <v>452</v>
      </c>
      <c r="D15" t="s">
        <v>453</v>
      </c>
      <c r="E15" t="s">
        <v>454</v>
      </c>
      <c r="G15" t="s">
        <v>455</v>
      </c>
      <c r="H15" t="s">
        <v>91</v>
      </c>
      <c r="I15" t="s">
        <v>456</v>
      </c>
      <c r="J15" t="s">
        <v>457</v>
      </c>
      <c r="M15" t="s">
        <v>458</v>
      </c>
      <c r="N15" t="s">
        <v>459</v>
      </c>
      <c r="O15" t="s">
        <v>460</v>
      </c>
      <c r="P15" t="s">
        <v>461</v>
      </c>
      <c r="R15" t="s">
        <v>462</v>
      </c>
      <c r="S15" t="s">
        <v>463</v>
      </c>
      <c r="W15" t="s">
        <v>464</v>
      </c>
      <c r="Y15" t="s">
        <v>465</v>
      </c>
      <c r="Z15" t="s">
        <v>466</v>
      </c>
      <c r="AB15" t="s">
        <v>467</v>
      </c>
      <c r="AD15" t="s">
        <v>468</v>
      </c>
    </row>
    <row r="16" spans="1:31" x14ac:dyDescent="0.25">
      <c r="A16" t="s">
        <v>451</v>
      </c>
      <c r="C16" t="s">
        <v>470</v>
      </c>
      <c r="D16" t="s">
        <v>471</v>
      </c>
      <c r="E16" t="s">
        <v>472</v>
      </c>
      <c r="G16" t="s">
        <v>473</v>
      </c>
      <c r="H16" t="s">
        <v>92</v>
      </c>
      <c r="I16" t="s">
        <v>474</v>
      </c>
      <c r="J16" t="s">
        <v>475</v>
      </c>
      <c r="M16" t="s">
        <v>476</v>
      </c>
      <c r="N16" t="s">
        <v>477</v>
      </c>
      <c r="O16" t="s">
        <v>478</v>
      </c>
      <c r="P16" t="s">
        <v>479</v>
      </c>
      <c r="R16" t="s">
        <v>480</v>
      </c>
      <c r="S16" t="s">
        <v>481</v>
      </c>
      <c r="W16" t="s">
        <v>482</v>
      </c>
      <c r="Y16" t="s">
        <v>483</v>
      </c>
      <c r="Z16" t="s">
        <v>484</v>
      </c>
      <c r="AB16" t="s">
        <v>485</v>
      </c>
      <c r="AD16" t="s">
        <v>486</v>
      </c>
    </row>
    <row r="17" spans="1:30" x14ac:dyDescent="0.25">
      <c r="A17" t="s">
        <v>469</v>
      </c>
      <c r="C17" t="s">
        <v>488</v>
      </c>
      <c r="D17" t="s">
        <v>489</v>
      </c>
      <c r="E17" t="s">
        <v>490</v>
      </c>
      <c r="G17" t="s">
        <v>491</v>
      </c>
      <c r="H17" t="s">
        <v>93</v>
      </c>
      <c r="I17" t="s">
        <v>492</v>
      </c>
      <c r="J17" t="s">
        <v>493</v>
      </c>
      <c r="M17" t="s">
        <v>494</v>
      </c>
      <c r="N17" t="s">
        <v>495</v>
      </c>
      <c r="O17" t="s">
        <v>496</v>
      </c>
      <c r="P17" t="s">
        <v>497</v>
      </c>
      <c r="R17" t="s">
        <v>498</v>
      </c>
      <c r="S17" t="s">
        <v>499</v>
      </c>
      <c r="W17" t="s">
        <v>500</v>
      </c>
      <c r="Y17" t="s">
        <v>501</v>
      </c>
      <c r="Z17" t="s">
        <v>502</v>
      </c>
      <c r="AB17" t="s">
        <v>503</v>
      </c>
      <c r="AD17" t="s">
        <v>504</v>
      </c>
    </row>
    <row r="18" spans="1:30" x14ac:dyDescent="0.25">
      <c r="A18" t="s">
        <v>487</v>
      </c>
      <c r="C18" t="s">
        <v>506</v>
      </c>
      <c r="D18" t="s">
        <v>249</v>
      </c>
      <c r="E18" t="s">
        <v>507</v>
      </c>
      <c r="G18" t="s">
        <v>508</v>
      </c>
      <c r="H18" t="s">
        <v>94</v>
      </c>
      <c r="I18" t="s">
        <v>509</v>
      </c>
      <c r="J18" t="s">
        <v>510</v>
      </c>
      <c r="N18" t="s">
        <v>511</v>
      </c>
      <c r="O18" t="s">
        <v>512</v>
      </c>
      <c r="R18" t="s">
        <v>513</v>
      </c>
      <c r="S18" t="s">
        <v>514</v>
      </c>
      <c r="W18" t="s">
        <v>515</v>
      </c>
      <c r="Y18" t="s">
        <v>511</v>
      </c>
      <c r="Z18" t="s">
        <v>516</v>
      </c>
      <c r="AB18" t="s">
        <v>517</v>
      </c>
      <c r="AD18" t="s">
        <v>518</v>
      </c>
    </row>
    <row r="19" spans="1:30" x14ac:dyDescent="0.25">
      <c r="A19" t="s">
        <v>505</v>
      </c>
      <c r="C19" t="s">
        <v>520</v>
      </c>
      <c r="D19" t="s">
        <v>521</v>
      </c>
      <c r="E19" t="s">
        <v>522</v>
      </c>
      <c r="G19" t="s">
        <v>523</v>
      </c>
      <c r="H19" t="s">
        <v>95</v>
      </c>
      <c r="I19" t="s">
        <v>524</v>
      </c>
      <c r="J19" t="s">
        <v>525</v>
      </c>
      <c r="N19" t="s">
        <v>526</v>
      </c>
      <c r="R19" t="s">
        <v>527</v>
      </c>
      <c r="W19" t="s">
        <v>528</v>
      </c>
      <c r="Y19" t="s">
        <v>529</v>
      </c>
      <c r="Z19" t="s">
        <v>530</v>
      </c>
      <c r="AB19" t="s">
        <v>531</v>
      </c>
      <c r="AD19" t="s">
        <v>532</v>
      </c>
    </row>
    <row r="20" spans="1:30" x14ac:dyDescent="0.25">
      <c r="A20" t="s">
        <v>519</v>
      </c>
      <c r="C20" t="s">
        <v>534</v>
      </c>
      <c r="E20" t="s">
        <v>535</v>
      </c>
      <c r="G20" t="s">
        <v>536</v>
      </c>
      <c r="H20" t="s">
        <v>96</v>
      </c>
      <c r="I20" t="s">
        <v>537</v>
      </c>
      <c r="J20" t="s">
        <v>538</v>
      </c>
      <c r="N20" t="s">
        <v>539</v>
      </c>
      <c r="R20" t="s">
        <v>540</v>
      </c>
      <c r="W20" t="s">
        <v>541</v>
      </c>
      <c r="Y20" t="s">
        <v>542</v>
      </c>
      <c r="Z20" t="s">
        <v>543</v>
      </c>
      <c r="AB20" t="s">
        <v>544</v>
      </c>
      <c r="AD20" t="s">
        <v>545</v>
      </c>
    </row>
    <row r="21" spans="1:30" x14ac:dyDescent="0.25">
      <c r="A21" t="s">
        <v>533</v>
      </c>
      <c r="C21" t="s">
        <v>547</v>
      </c>
      <c r="E21" t="s">
        <v>548</v>
      </c>
      <c r="H21" t="s">
        <v>97</v>
      </c>
      <c r="I21" t="s">
        <v>549</v>
      </c>
      <c r="J21" t="s">
        <v>550</v>
      </c>
      <c r="N21" t="s">
        <v>551</v>
      </c>
      <c r="R21" t="s">
        <v>552</v>
      </c>
      <c r="W21" t="s">
        <v>553</v>
      </c>
      <c r="Y21" t="s">
        <v>554</v>
      </c>
      <c r="Z21" t="s">
        <v>555</v>
      </c>
      <c r="AB21" t="s">
        <v>556</v>
      </c>
      <c r="AD21" t="s">
        <v>557</v>
      </c>
    </row>
    <row r="22" spans="1:30" x14ac:dyDescent="0.25">
      <c r="A22" t="s">
        <v>546</v>
      </c>
      <c r="C22" t="s">
        <v>559</v>
      </c>
      <c r="E22" t="s">
        <v>560</v>
      </c>
      <c r="H22" t="s">
        <v>98</v>
      </c>
      <c r="I22" t="s">
        <v>561</v>
      </c>
      <c r="J22" t="s">
        <v>562</v>
      </c>
      <c r="N22" t="s">
        <v>563</v>
      </c>
      <c r="R22" t="s">
        <v>564</v>
      </c>
      <c r="W22" t="s">
        <v>565</v>
      </c>
      <c r="Y22" t="s">
        <v>566</v>
      </c>
      <c r="Z22" t="s">
        <v>567</v>
      </c>
      <c r="AB22" t="s">
        <v>568</v>
      </c>
      <c r="AD22" t="s">
        <v>403</v>
      </c>
    </row>
    <row r="23" spans="1:30" x14ac:dyDescent="0.25">
      <c r="A23" t="s">
        <v>558</v>
      </c>
      <c r="E23" t="s">
        <v>570</v>
      </c>
      <c r="H23" t="s">
        <v>99</v>
      </c>
      <c r="I23" t="s">
        <v>571</v>
      </c>
      <c r="J23" t="s">
        <v>572</v>
      </c>
      <c r="N23" t="s">
        <v>573</v>
      </c>
      <c r="R23" t="s">
        <v>574</v>
      </c>
      <c r="W23" t="s">
        <v>575</v>
      </c>
      <c r="Y23" t="s">
        <v>576</v>
      </c>
      <c r="Z23" t="s">
        <v>577</v>
      </c>
      <c r="AB23" t="s">
        <v>578</v>
      </c>
      <c r="AD23" t="s">
        <v>579</v>
      </c>
    </row>
    <row r="24" spans="1:30" x14ac:dyDescent="0.25">
      <c r="A24" t="s">
        <v>569</v>
      </c>
      <c r="E24" t="s">
        <v>581</v>
      </c>
      <c r="H24" t="s">
        <v>100</v>
      </c>
      <c r="I24" t="s">
        <v>582</v>
      </c>
      <c r="J24" t="s">
        <v>583</v>
      </c>
      <c r="N24" t="s">
        <v>584</v>
      </c>
      <c r="R24" t="s">
        <v>585</v>
      </c>
      <c r="W24" t="s">
        <v>586</v>
      </c>
      <c r="Y24" t="s">
        <v>587</v>
      </c>
      <c r="Z24" t="s">
        <v>588</v>
      </c>
      <c r="AB24" t="s">
        <v>248</v>
      </c>
      <c r="AD24" t="s">
        <v>589</v>
      </c>
    </row>
    <row r="25" spans="1:30" x14ac:dyDescent="0.25">
      <c r="A25" t="s">
        <v>580</v>
      </c>
      <c r="E25" t="s">
        <v>591</v>
      </c>
      <c r="H25" t="s">
        <v>101</v>
      </c>
      <c r="I25" t="s">
        <v>592</v>
      </c>
      <c r="J25" t="s">
        <v>593</v>
      </c>
      <c r="N25" t="s">
        <v>594</v>
      </c>
      <c r="R25" t="s">
        <v>595</v>
      </c>
      <c r="W25" t="s">
        <v>596</v>
      </c>
      <c r="Y25" t="s">
        <v>597</v>
      </c>
      <c r="Z25" t="s">
        <v>598</v>
      </c>
      <c r="AB25" t="s">
        <v>599</v>
      </c>
      <c r="AD25" t="s">
        <v>600</v>
      </c>
    </row>
    <row r="26" spans="1:30" x14ac:dyDescent="0.25">
      <c r="A26" t="s">
        <v>590</v>
      </c>
      <c r="E26" t="s">
        <v>602</v>
      </c>
      <c r="H26" t="s">
        <v>102</v>
      </c>
      <c r="I26" t="s">
        <v>603</v>
      </c>
      <c r="J26" t="s">
        <v>604</v>
      </c>
      <c r="N26" t="s">
        <v>605</v>
      </c>
      <c r="R26" t="s">
        <v>606</v>
      </c>
      <c r="W26" t="s">
        <v>607</v>
      </c>
      <c r="Y26" t="s">
        <v>608</v>
      </c>
      <c r="Z26" t="s">
        <v>609</v>
      </c>
      <c r="AB26" t="s">
        <v>610</v>
      </c>
      <c r="AD26" t="s">
        <v>611</v>
      </c>
    </row>
    <row r="27" spans="1:30" x14ac:dyDescent="0.25">
      <c r="A27" t="s">
        <v>601</v>
      </c>
      <c r="E27" t="s">
        <v>613</v>
      </c>
      <c r="H27" t="s">
        <v>103</v>
      </c>
      <c r="I27" t="s">
        <v>614</v>
      </c>
      <c r="J27" t="s">
        <v>615</v>
      </c>
      <c r="N27" t="s">
        <v>616</v>
      </c>
      <c r="R27" t="s">
        <v>617</v>
      </c>
      <c r="W27" t="s">
        <v>618</v>
      </c>
      <c r="Y27" t="s">
        <v>619</v>
      </c>
      <c r="Z27" t="s">
        <v>620</v>
      </c>
      <c r="AB27" t="s">
        <v>621</v>
      </c>
      <c r="AD27" t="s">
        <v>622</v>
      </c>
    </row>
    <row r="28" spans="1:30" x14ac:dyDescent="0.25">
      <c r="A28" t="s">
        <v>612</v>
      </c>
      <c r="E28" t="s">
        <v>623</v>
      </c>
      <c r="H28" t="s">
        <v>104</v>
      </c>
      <c r="I28" t="s">
        <v>624</v>
      </c>
      <c r="J28" t="s">
        <v>625</v>
      </c>
      <c r="N28" t="s">
        <v>626</v>
      </c>
      <c r="R28" t="s">
        <v>627</v>
      </c>
      <c r="Y28" t="s">
        <v>628</v>
      </c>
      <c r="Z28" t="s">
        <v>629</v>
      </c>
      <c r="AB28" t="s">
        <v>630</v>
      </c>
      <c r="AD28" t="s">
        <v>631</v>
      </c>
    </row>
    <row r="29" spans="1:30" x14ac:dyDescent="0.25">
      <c r="A29" t="s">
        <v>126</v>
      </c>
      <c r="E29" t="s">
        <v>633</v>
      </c>
      <c r="H29" t="s">
        <v>105</v>
      </c>
      <c r="I29" t="s">
        <v>634</v>
      </c>
      <c r="J29" t="s">
        <v>635</v>
      </c>
      <c r="N29" t="s">
        <v>636</v>
      </c>
      <c r="R29" t="s">
        <v>637</v>
      </c>
      <c r="Y29" t="s">
        <v>638</v>
      </c>
      <c r="Z29" t="s">
        <v>639</v>
      </c>
      <c r="AB29" t="s">
        <v>640</v>
      </c>
      <c r="AD29" t="s">
        <v>641</v>
      </c>
    </row>
    <row r="30" spans="1:30" x14ac:dyDescent="0.25">
      <c r="A30" t="s">
        <v>632</v>
      </c>
      <c r="H30" t="s">
        <v>106</v>
      </c>
      <c r="I30" t="s">
        <v>643</v>
      </c>
      <c r="J30" t="s">
        <v>644</v>
      </c>
      <c r="N30" t="s">
        <v>645</v>
      </c>
      <c r="R30" t="s">
        <v>646</v>
      </c>
      <c r="Y30" t="s">
        <v>647</v>
      </c>
      <c r="Z30" t="s">
        <v>648</v>
      </c>
      <c r="AB30" t="s">
        <v>649</v>
      </c>
      <c r="AD30" t="s">
        <v>650</v>
      </c>
    </row>
    <row r="31" spans="1:30" x14ac:dyDescent="0.25">
      <c r="A31" t="s">
        <v>642</v>
      </c>
      <c r="H31" t="s">
        <v>107</v>
      </c>
      <c r="I31" t="s">
        <v>652</v>
      </c>
      <c r="J31" t="s">
        <v>653</v>
      </c>
      <c r="R31" t="s">
        <v>654</v>
      </c>
      <c r="Y31" t="s">
        <v>655</v>
      </c>
      <c r="Z31" t="s">
        <v>656</v>
      </c>
      <c r="AB31" t="s">
        <v>657</v>
      </c>
      <c r="AD31" t="s">
        <v>658</v>
      </c>
    </row>
    <row r="32" spans="1:30" x14ac:dyDescent="0.25">
      <c r="A32" t="s">
        <v>651</v>
      </c>
      <c r="H32" t="s">
        <v>108</v>
      </c>
      <c r="I32" t="s">
        <v>659</v>
      </c>
      <c r="J32" t="s">
        <v>660</v>
      </c>
      <c r="R32" t="s">
        <v>661</v>
      </c>
      <c r="Y32" t="s">
        <v>662</v>
      </c>
      <c r="Z32" t="s">
        <v>663</v>
      </c>
      <c r="AB32" t="s">
        <v>664</v>
      </c>
      <c r="AD32" t="s">
        <v>665</v>
      </c>
    </row>
    <row r="33" spans="1:30" x14ac:dyDescent="0.25">
      <c r="A33" t="s">
        <v>127</v>
      </c>
      <c r="H33" t="s">
        <v>109</v>
      </c>
      <c r="I33" t="s">
        <v>667</v>
      </c>
      <c r="J33" t="s">
        <v>668</v>
      </c>
      <c r="R33" t="s">
        <v>669</v>
      </c>
      <c r="Y33" t="s">
        <v>670</v>
      </c>
      <c r="Z33" t="s">
        <v>671</v>
      </c>
      <c r="AB33" t="s">
        <v>672</v>
      </c>
      <c r="AD33" t="s">
        <v>673</v>
      </c>
    </row>
    <row r="34" spans="1:30" x14ac:dyDescent="0.25">
      <c r="A34" t="s">
        <v>666</v>
      </c>
      <c r="H34" t="s">
        <v>110</v>
      </c>
      <c r="I34" t="s">
        <v>675</v>
      </c>
      <c r="J34" t="s">
        <v>676</v>
      </c>
      <c r="R34" t="s">
        <v>677</v>
      </c>
      <c r="Z34" t="s">
        <v>678</v>
      </c>
      <c r="AB34" t="s">
        <v>679</v>
      </c>
      <c r="AD34" t="s">
        <v>680</v>
      </c>
    </row>
    <row r="35" spans="1:30" x14ac:dyDescent="0.25">
      <c r="A35" t="s">
        <v>674</v>
      </c>
      <c r="H35" t="s">
        <v>111</v>
      </c>
      <c r="I35" t="s">
        <v>682</v>
      </c>
      <c r="J35" t="s">
        <v>683</v>
      </c>
      <c r="R35" t="s">
        <v>684</v>
      </c>
      <c r="Z35" t="s">
        <v>685</v>
      </c>
      <c r="AB35" t="s">
        <v>686</v>
      </c>
      <c r="AD35" t="s">
        <v>687</v>
      </c>
    </row>
    <row r="36" spans="1:30" x14ac:dyDescent="0.25">
      <c r="A36" t="s">
        <v>681</v>
      </c>
      <c r="H36" t="s">
        <v>25</v>
      </c>
      <c r="I36" t="s">
        <v>689</v>
      </c>
      <c r="J36" t="s">
        <v>690</v>
      </c>
      <c r="R36" t="s">
        <v>691</v>
      </c>
      <c r="Z36" t="s">
        <v>692</v>
      </c>
      <c r="AB36" t="s">
        <v>693</v>
      </c>
      <c r="AD36" t="s">
        <v>694</v>
      </c>
    </row>
    <row r="37" spans="1:30" x14ac:dyDescent="0.25">
      <c r="A37" t="s">
        <v>688</v>
      </c>
      <c r="H37" t="s">
        <v>112</v>
      </c>
      <c r="J37" t="s">
        <v>695</v>
      </c>
      <c r="R37" t="s">
        <v>696</v>
      </c>
      <c r="Z37" t="s">
        <v>697</v>
      </c>
      <c r="AB37" t="s">
        <v>698</v>
      </c>
      <c r="AD37" t="s">
        <v>699</v>
      </c>
    </row>
    <row r="38" spans="1:30" x14ac:dyDescent="0.25">
      <c r="A38" t="s">
        <v>128</v>
      </c>
      <c r="H38" t="s">
        <v>113</v>
      </c>
      <c r="J38" t="s">
        <v>700</v>
      </c>
      <c r="R38" t="s">
        <v>701</v>
      </c>
      <c r="Z38" t="s">
        <v>702</v>
      </c>
      <c r="AB38" t="s">
        <v>703</v>
      </c>
      <c r="AD38" t="s">
        <v>704</v>
      </c>
    </row>
    <row r="39" spans="1:30" x14ac:dyDescent="0.25">
      <c r="A39" t="s">
        <v>26</v>
      </c>
      <c r="J39" t="s">
        <v>705</v>
      </c>
      <c r="Z39" t="s">
        <v>706</v>
      </c>
      <c r="AB39" t="s">
        <v>707</v>
      </c>
      <c r="AD39" t="s">
        <v>708</v>
      </c>
    </row>
    <row r="40" spans="1:30" x14ac:dyDescent="0.25">
      <c r="A40" t="s">
        <v>129</v>
      </c>
      <c r="J40" t="s">
        <v>710</v>
      </c>
      <c r="Z40" t="s">
        <v>711</v>
      </c>
      <c r="AB40" t="s">
        <v>712</v>
      </c>
      <c r="AD40" t="s">
        <v>713</v>
      </c>
    </row>
    <row r="41" spans="1:30" x14ac:dyDescent="0.25">
      <c r="A41" t="s">
        <v>709</v>
      </c>
      <c r="J41" t="s">
        <v>715</v>
      </c>
      <c r="Z41" t="s">
        <v>716</v>
      </c>
      <c r="AB41" t="s">
        <v>717</v>
      </c>
      <c r="AD41" t="s">
        <v>718</v>
      </c>
    </row>
    <row r="42" spans="1:30" x14ac:dyDescent="0.25">
      <c r="A42" t="s">
        <v>714</v>
      </c>
      <c r="J42" t="s">
        <v>720</v>
      </c>
      <c r="Z42" t="s">
        <v>721</v>
      </c>
      <c r="AB42" t="s">
        <v>722</v>
      </c>
      <c r="AD42" t="s">
        <v>723</v>
      </c>
    </row>
    <row r="43" spans="1:30" x14ac:dyDescent="0.25">
      <c r="A43" t="s">
        <v>719</v>
      </c>
      <c r="J43" t="s">
        <v>725</v>
      </c>
      <c r="Z43" t="s">
        <v>726</v>
      </c>
      <c r="AB43" t="s">
        <v>727</v>
      </c>
      <c r="AD43" t="s">
        <v>728</v>
      </c>
    </row>
    <row r="44" spans="1:30" x14ac:dyDescent="0.25">
      <c r="A44" t="s">
        <v>724</v>
      </c>
      <c r="J44" t="s">
        <v>730</v>
      </c>
      <c r="Z44" t="s">
        <v>731</v>
      </c>
      <c r="AB44" t="s">
        <v>732</v>
      </c>
      <c r="AD44" t="s">
        <v>733</v>
      </c>
    </row>
    <row r="45" spans="1:30" x14ac:dyDescent="0.25">
      <c r="A45" t="s">
        <v>729</v>
      </c>
      <c r="J45" t="s">
        <v>734</v>
      </c>
      <c r="Z45" t="s">
        <v>735</v>
      </c>
      <c r="AB45" t="s">
        <v>736</v>
      </c>
      <c r="AD45" t="s">
        <v>737</v>
      </c>
    </row>
    <row r="46" spans="1:30" x14ac:dyDescent="0.25">
      <c r="A46" t="s">
        <v>130</v>
      </c>
      <c r="J46" t="s">
        <v>738</v>
      </c>
      <c r="Z46" t="s">
        <v>739</v>
      </c>
      <c r="AB46" t="s">
        <v>740</v>
      </c>
      <c r="AD46" t="s">
        <v>741</v>
      </c>
    </row>
    <row r="47" spans="1:30" x14ac:dyDescent="0.25">
      <c r="A47" t="s">
        <v>131</v>
      </c>
      <c r="J47" t="s">
        <v>742</v>
      </c>
      <c r="Z47" t="s">
        <v>743</v>
      </c>
      <c r="AB47" t="s">
        <v>744</v>
      </c>
      <c r="AD47" t="s">
        <v>745</v>
      </c>
    </row>
    <row r="48" spans="1:30" x14ac:dyDescent="0.25">
      <c r="A48" t="s">
        <v>132</v>
      </c>
      <c r="J48" t="s">
        <v>746</v>
      </c>
      <c r="Z48" t="s">
        <v>747</v>
      </c>
      <c r="AB48" t="s">
        <v>748</v>
      </c>
      <c r="AD48" t="s">
        <v>749</v>
      </c>
    </row>
    <row r="49" spans="1:30" x14ac:dyDescent="0.25">
      <c r="A49" t="s">
        <v>133</v>
      </c>
      <c r="J49" t="s">
        <v>751</v>
      </c>
      <c r="Z49" t="s">
        <v>752</v>
      </c>
      <c r="AB49" t="s">
        <v>753</v>
      </c>
      <c r="AD49" t="s">
        <v>754</v>
      </c>
    </row>
    <row r="50" spans="1:30" x14ac:dyDescent="0.25">
      <c r="A50" t="s">
        <v>750</v>
      </c>
      <c r="Z50" t="s">
        <v>755</v>
      </c>
      <c r="AB50" t="s">
        <v>756</v>
      </c>
      <c r="AD50" t="s">
        <v>757</v>
      </c>
    </row>
    <row r="51" spans="1:30" x14ac:dyDescent="0.25">
      <c r="A51" t="s">
        <v>134</v>
      </c>
      <c r="Z51" t="s">
        <v>758</v>
      </c>
      <c r="AB51" t="s">
        <v>759</v>
      </c>
      <c r="AD51" t="s">
        <v>760</v>
      </c>
    </row>
    <row r="52" spans="1:30" x14ac:dyDescent="0.25">
      <c r="A52" t="s">
        <v>135</v>
      </c>
      <c r="Z52" t="s">
        <v>762</v>
      </c>
      <c r="AB52" t="s">
        <v>763</v>
      </c>
      <c r="AD52" t="s">
        <v>764</v>
      </c>
    </row>
    <row r="53" spans="1:30" x14ac:dyDescent="0.25">
      <c r="A53" t="s">
        <v>761</v>
      </c>
      <c r="Z53" t="s">
        <v>766</v>
      </c>
      <c r="AB53" t="s">
        <v>767</v>
      </c>
    </row>
    <row r="54" spans="1:30" x14ac:dyDescent="0.25">
      <c r="A54" t="s">
        <v>765</v>
      </c>
      <c r="Z54" t="s">
        <v>769</v>
      </c>
      <c r="AB54" t="s">
        <v>770</v>
      </c>
    </row>
    <row r="55" spans="1:30" x14ac:dyDescent="0.25">
      <c r="A55" t="s">
        <v>768</v>
      </c>
      <c r="Z55" t="s">
        <v>772</v>
      </c>
      <c r="AB55" t="s">
        <v>773</v>
      </c>
    </row>
    <row r="56" spans="1:30" x14ac:dyDescent="0.25">
      <c r="A56" t="s">
        <v>771</v>
      </c>
      <c r="Z56" t="s">
        <v>774</v>
      </c>
      <c r="AB56" t="s">
        <v>775</v>
      </c>
    </row>
    <row r="57" spans="1:30" x14ac:dyDescent="0.25">
      <c r="A57" t="s">
        <v>136</v>
      </c>
      <c r="Z57" t="s">
        <v>776</v>
      </c>
      <c r="AB57" t="s">
        <v>777</v>
      </c>
    </row>
    <row r="58" spans="1:30" x14ac:dyDescent="0.25">
      <c r="A58" t="s">
        <v>137</v>
      </c>
      <c r="Z58" t="s">
        <v>779</v>
      </c>
      <c r="AB58" t="s">
        <v>780</v>
      </c>
    </row>
    <row r="59" spans="1:30" x14ac:dyDescent="0.25">
      <c r="A59" t="s">
        <v>778</v>
      </c>
      <c r="Z59" t="s">
        <v>781</v>
      </c>
      <c r="AB59" t="s">
        <v>782</v>
      </c>
    </row>
    <row r="60" spans="1:30" x14ac:dyDescent="0.25">
      <c r="A60" t="s">
        <v>627</v>
      </c>
      <c r="Z60" t="s">
        <v>783</v>
      </c>
      <c r="AB60" t="s">
        <v>784</v>
      </c>
    </row>
    <row r="61" spans="1:30" x14ac:dyDescent="0.25">
      <c r="A61" t="s">
        <v>138</v>
      </c>
      <c r="Z61" t="s">
        <v>786</v>
      </c>
      <c r="AB61" t="s">
        <v>787</v>
      </c>
    </row>
    <row r="62" spans="1:30" x14ac:dyDescent="0.25">
      <c r="A62" t="s">
        <v>785</v>
      </c>
      <c r="Z62" t="s">
        <v>789</v>
      </c>
      <c r="AB62" t="s">
        <v>790</v>
      </c>
    </row>
    <row r="63" spans="1:30" x14ac:dyDescent="0.25">
      <c r="A63" t="s">
        <v>788</v>
      </c>
      <c r="Z63" t="s">
        <v>792</v>
      </c>
      <c r="AB63" t="s">
        <v>793</v>
      </c>
    </row>
    <row r="64" spans="1:30" x14ac:dyDescent="0.25">
      <c r="A64" t="s">
        <v>791</v>
      </c>
      <c r="Z64" t="s">
        <v>794</v>
      </c>
      <c r="AB64" t="s">
        <v>795</v>
      </c>
    </row>
    <row r="65" spans="1:28" x14ac:dyDescent="0.25">
      <c r="A65" t="s">
        <v>139</v>
      </c>
      <c r="Z65" t="s">
        <v>797</v>
      </c>
      <c r="AB65" t="s">
        <v>798</v>
      </c>
    </row>
    <row r="66" spans="1:28" x14ac:dyDescent="0.25">
      <c r="A66" t="s">
        <v>796</v>
      </c>
      <c r="Z66" t="s">
        <v>800</v>
      </c>
      <c r="AB66" t="s">
        <v>801</v>
      </c>
    </row>
    <row r="67" spans="1:28" x14ac:dyDescent="0.25">
      <c r="A67" t="s">
        <v>799</v>
      </c>
      <c r="Z67" t="s">
        <v>802</v>
      </c>
      <c r="AB67" t="s">
        <v>803</v>
      </c>
    </row>
    <row r="68" spans="1:28" x14ac:dyDescent="0.25">
      <c r="A68" t="s">
        <v>140</v>
      </c>
      <c r="Z68" t="s">
        <v>805</v>
      </c>
      <c r="AB68" t="s">
        <v>806</v>
      </c>
    </row>
    <row r="69" spans="1:28" x14ac:dyDescent="0.25">
      <c r="A69" t="s">
        <v>804</v>
      </c>
      <c r="Z69" t="s">
        <v>808</v>
      </c>
      <c r="AB69" t="s">
        <v>809</v>
      </c>
    </row>
    <row r="70" spans="1:28" x14ac:dyDescent="0.25">
      <c r="A70" t="s">
        <v>807</v>
      </c>
      <c r="Z70" t="s">
        <v>811</v>
      </c>
      <c r="AB70" t="s">
        <v>812</v>
      </c>
    </row>
    <row r="71" spans="1:28" x14ac:dyDescent="0.25">
      <c r="A71" t="s">
        <v>810</v>
      </c>
      <c r="Z71" t="s">
        <v>814</v>
      </c>
      <c r="AB71" t="s">
        <v>815</v>
      </c>
    </row>
    <row r="72" spans="1:28" x14ac:dyDescent="0.25">
      <c r="A72" t="s">
        <v>813</v>
      </c>
      <c r="Z72" t="s">
        <v>816</v>
      </c>
      <c r="AB72" t="s">
        <v>817</v>
      </c>
    </row>
    <row r="73" spans="1:28" x14ac:dyDescent="0.25">
      <c r="A73" t="s">
        <v>141</v>
      </c>
      <c r="Z73" t="s">
        <v>819</v>
      </c>
      <c r="AB73" t="s">
        <v>820</v>
      </c>
    </row>
    <row r="74" spans="1:28" x14ac:dyDescent="0.25">
      <c r="A74" t="s">
        <v>818</v>
      </c>
      <c r="Z74" t="s">
        <v>822</v>
      </c>
      <c r="AB74" t="s">
        <v>823</v>
      </c>
    </row>
    <row r="75" spans="1:28" x14ac:dyDescent="0.25">
      <c r="A75" t="s">
        <v>821</v>
      </c>
      <c r="Z75" t="s">
        <v>824</v>
      </c>
      <c r="AB75" t="s">
        <v>825</v>
      </c>
    </row>
    <row r="76" spans="1:28" x14ac:dyDescent="0.25">
      <c r="A76" t="s">
        <v>142</v>
      </c>
      <c r="Z76" t="s">
        <v>827</v>
      </c>
      <c r="AB76" t="s">
        <v>828</v>
      </c>
    </row>
    <row r="77" spans="1:28" x14ac:dyDescent="0.25">
      <c r="A77" t="s">
        <v>826</v>
      </c>
      <c r="Z77" t="s">
        <v>830</v>
      </c>
      <c r="AB77" t="s">
        <v>831</v>
      </c>
    </row>
    <row r="78" spans="1:28" x14ac:dyDescent="0.25">
      <c r="A78" t="s">
        <v>829</v>
      </c>
      <c r="Z78" t="s">
        <v>832</v>
      </c>
      <c r="AB78" t="s">
        <v>833</v>
      </c>
    </row>
    <row r="79" spans="1:28" x14ac:dyDescent="0.25">
      <c r="A79" t="s">
        <v>143</v>
      </c>
      <c r="Z79" t="s">
        <v>835</v>
      </c>
      <c r="AB79" t="s">
        <v>836</v>
      </c>
    </row>
    <row r="80" spans="1:28" x14ac:dyDescent="0.25">
      <c r="A80" t="s">
        <v>834</v>
      </c>
      <c r="AB80" t="s">
        <v>837</v>
      </c>
    </row>
    <row r="81" spans="1:28" x14ac:dyDescent="0.25">
      <c r="A81" t="s">
        <v>144</v>
      </c>
      <c r="AB81" t="s">
        <v>839</v>
      </c>
    </row>
    <row r="82" spans="1:28" x14ac:dyDescent="0.25">
      <c r="A82" t="s">
        <v>838</v>
      </c>
      <c r="AB82" t="s">
        <v>840</v>
      </c>
    </row>
    <row r="83" spans="1:28" x14ac:dyDescent="0.25">
      <c r="A83" t="s">
        <v>145</v>
      </c>
      <c r="AB83" t="s">
        <v>841</v>
      </c>
    </row>
    <row r="84" spans="1:28" x14ac:dyDescent="0.25">
      <c r="A84" t="s">
        <v>146</v>
      </c>
      <c r="AB84" t="s">
        <v>843</v>
      </c>
    </row>
    <row r="85" spans="1:28" x14ac:dyDescent="0.25">
      <c r="A85" t="s">
        <v>842</v>
      </c>
      <c r="AB85" t="s">
        <v>845</v>
      </c>
    </row>
    <row r="86" spans="1:28" x14ac:dyDescent="0.25">
      <c r="A86" t="s">
        <v>844</v>
      </c>
      <c r="AB86" t="s">
        <v>846</v>
      </c>
    </row>
    <row r="87" spans="1:28" x14ac:dyDescent="0.25">
      <c r="A87" t="s">
        <v>147</v>
      </c>
      <c r="AB87" t="s">
        <v>847</v>
      </c>
    </row>
    <row r="88" spans="1:28" x14ac:dyDescent="0.25">
      <c r="A88" t="s">
        <v>148</v>
      </c>
      <c r="AB88" t="s">
        <v>848</v>
      </c>
    </row>
    <row r="89" spans="1:28" x14ac:dyDescent="0.25">
      <c r="A89" t="s">
        <v>149</v>
      </c>
      <c r="AB89" t="s">
        <v>850</v>
      </c>
    </row>
    <row r="90" spans="1:28" x14ac:dyDescent="0.25">
      <c r="A90" t="s">
        <v>849</v>
      </c>
      <c r="AB90" t="s">
        <v>851</v>
      </c>
    </row>
    <row r="91" spans="1:28" x14ac:dyDescent="0.25">
      <c r="A91" t="s">
        <v>150</v>
      </c>
      <c r="AB91" t="s">
        <v>853</v>
      </c>
    </row>
    <row r="92" spans="1:28" x14ac:dyDescent="0.25">
      <c r="A92" t="s">
        <v>852</v>
      </c>
      <c r="AB92" t="s">
        <v>855</v>
      </c>
    </row>
    <row r="93" spans="1:28" x14ac:dyDescent="0.25">
      <c r="A93" t="s">
        <v>854</v>
      </c>
      <c r="AB93" t="s">
        <v>857</v>
      </c>
    </row>
    <row r="94" spans="1:28" x14ac:dyDescent="0.25">
      <c r="A94" t="s">
        <v>856</v>
      </c>
      <c r="AB94" t="s">
        <v>859</v>
      </c>
    </row>
    <row r="95" spans="1:28" x14ac:dyDescent="0.25">
      <c r="A95" t="s">
        <v>858</v>
      </c>
      <c r="AB95" t="s">
        <v>860</v>
      </c>
    </row>
    <row r="96" spans="1:28" x14ac:dyDescent="0.25">
      <c r="A96" t="s">
        <v>151</v>
      </c>
      <c r="AB96" t="s">
        <v>862</v>
      </c>
    </row>
    <row r="97" spans="1:28" x14ac:dyDescent="0.25">
      <c r="A97" t="s">
        <v>861</v>
      </c>
      <c r="AB97" t="s">
        <v>863</v>
      </c>
    </row>
    <row r="98" spans="1:28" x14ac:dyDescent="0.25">
      <c r="AB98" t="s">
        <v>864</v>
      </c>
    </row>
    <row r="99" spans="1:28" x14ac:dyDescent="0.25">
      <c r="AB99" t="s">
        <v>865</v>
      </c>
    </row>
    <row r="100" spans="1:28" x14ac:dyDescent="0.25">
      <c r="AB100" t="s">
        <v>866</v>
      </c>
    </row>
    <row r="101" spans="1:28" x14ac:dyDescent="0.25">
      <c r="AB101" t="s">
        <v>867</v>
      </c>
    </row>
    <row r="102" spans="1:28" x14ac:dyDescent="0.25">
      <c r="AB102" t="s">
        <v>868</v>
      </c>
    </row>
    <row r="103" spans="1:28" x14ac:dyDescent="0.25">
      <c r="AB103" t="s">
        <v>869</v>
      </c>
    </row>
    <row r="104" spans="1:28" x14ac:dyDescent="0.25">
      <c r="AB104" t="s">
        <v>870</v>
      </c>
    </row>
    <row r="105" spans="1:28" x14ac:dyDescent="0.25">
      <c r="AB105" t="s">
        <v>871</v>
      </c>
    </row>
    <row r="106" spans="1:28" x14ac:dyDescent="0.25">
      <c r="AB106" t="s">
        <v>872</v>
      </c>
    </row>
    <row r="107" spans="1:28" x14ac:dyDescent="0.25">
      <c r="AB107" t="s">
        <v>873</v>
      </c>
    </row>
    <row r="108" spans="1:28" x14ac:dyDescent="0.25">
      <c r="AB108" t="s">
        <v>874</v>
      </c>
    </row>
    <row r="109" spans="1:28" x14ac:dyDescent="0.25">
      <c r="AB109" t="s">
        <v>875</v>
      </c>
    </row>
    <row r="110" spans="1:28" x14ac:dyDescent="0.25">
      <c r="AB110" t="s">
        <v>876</v>
      </c>
    </row>
    <row r="111" spans="1:28" x14ac:dyDescent="0.25">
      <c r="AB111" t="s">
        <v>877</v>
      </c>
    </row>
    <row r="112" spans="1:28" x14ac:dyDescent="0.25">
      <c r="AB112" t="s">
        <v>878</v>
      </c>
    </row>
    <row r="113" spans="28:28" x14ac:dyDescent="0.25">
      <c r="AB113" t="s">
        <v>879</v>
      </c>
    </row>
    <row r="114" spans="28:28" x14ac:dyDescent="0.25">
      <c r="AB114" t="s">
        <v>880</v>
      </c>
    </row>
  </sheetData>
  <pageMargins left="0.7" right="0.7" top="0.75" bottom="0.75" header="0.3" footer="0.3"/>
  <pageSetup paperSize="9" orientation="portrait" r:id="rId1"/>
</worksheet>
</file>

<file path=customUI/_rels/customUI.xml.rels><?xml version="1.0" encoding="UTF-8" standalone="yes"?>
<Relationships xmlns="http://schemas.openxmlformats.org/package/2006/relationships"><Relationship Id="Xml" Type="http://schemas.openxmlformats.org/officeDocument/2006/relationships/image" Target="images/Xml0.png"/><Relationship Id="E2T" Type="http://schemas.openxmlformats.org/officeDocument/2006/relationships/image" Target="images/E2T0.png"/><Relationship Id="T2E" Type="http://schemas.openxmlformats.org/officeDocument/2006/relationships/image" Target="images/T2E0.png"/></Relationships>
</file>

<file path=customUI/_rels/customUI14.xml.rels><?xml version="1.0" encoding="UTF-8" standalone="yes"?>
<Relationships xmlns="http://schemas.openxmlformats.org/package/2006/relationships"><Relationship Id="Xml" Type="http://schemas.openxmlformats.org/officeDocument/2006/relationships/image" Target="images/Xml.png"/><Relationship Id="T2E" Type="http://schemas.openxmlformats.org/officeDocument/2006/relationships/image" Target="images/T2E.png"/><Relationship Id="E2T" Type="http://schemas.openxmlformats.org/officeDocument/2006/relationships/image" Target="images/E2T.png"/></Relationships>
</file>

<file path=customUI/customUI.xml><?xml version="1.0" encoding="utf-8"?>
<customUI xmlns="http://schemas.microsoft.com/office/2006/01/customui" onLoad="OnRibbonLoad">
  <ribbon>
    <tabs>
      <tab idMso="TabHome">
        <group id="TallyGroup" getVisible="ShowTallyGroup" label="Tally" insertAfterMso="GroupEditingExcel">
          <button id="SyncBtn" label="Sync Tally" size="normal" onAction="SyncData" imageMso="Refresh" screentip="Fatch Data From Tally" supertip="We will try to collect required information from active company of running Tally"/>
          <button id="MapBtn" label="Data From File" size="normal" onAction="MapFileData" getEnabled="GetMapBtnStatus" imageMso="ImportTextFile" screentip="Map/Import Data From File" supertip="Collect data from external excel file."/>
          <button id="EraseBtn" label="Erase Data" size="normal" onAction="EraseData" imageMso="TableStyleClear" screentip="Clear Sheet Data" supertip="Clear all existing data from this sheet."/>
          <separator id="Sep1"/>
          <menu id="PostMenu" label="Post" size="large" image="E2T" getVisible="GetPostBtnStatus" screentip="Post/Generate Existing Data">
            <menuSeparator id="PostSep1"/>
            <button id="BookBtn" label="Post To Tally" onAction="PostData" image="E2T" screentip="Post Existing Data into Tally" supertip="Post Existing data direct into Tally using Tally server."/>
            <menuSeparator id="PostSep2"/>
            <button id="XmlBtn" label="Create XML File" onAction="CreateXMLFile" image="Xml" screentip="Write XML file for Tally" supertip="Create an Tally supprted XML file from exisitng data."/>
          </menu>
          <menu id="ReportMenu" label="Get" size="large" image="T2E" getVisible="GetReportBtnStatus" screentip="Get Report From Tally">
            <menuSeparator id="ReportSep1"/>
            <button id="LedgerVoucherBtn" label="Ledger Vouchers" onAction="GetReport" imageMso="Thesaurus" screentip="Fetch Ledger Vouchers" supertip="Extract Ledger Vouchers report from Tally for specified period of selected ledger."/>
            <!--<menuSeparator id="ReportSep2" />-->
            <!--<button id="TrialBalanceBtn" label="Trial Balance" onAction="GetReport" image="Thesaurus" screentip="Fetch Trial Balance" supertip="Extract Trial Balance report from Tally for specified period." />-->
          </menu>
        </group>
      </tab>
    </tabs>
  </ribbon>
</customUI>
</file>

<file path=customUI/customUI14.xml><?xml version="1.0" encoding="utf-8"?>
<customUI xmlns="http://schemas.microsoft.com/office/2009/07/customui" onLoad="OnRibbonLoad">
  <ribbon>
    <tabs>
      <tab idMso="TabHome">
        <group id="TallyGroup" getVisible="ShowTallyGroup" label="Tally" insertAfterMso="GroupEditingExcel">
          <button id="SyncBtn" label="Sync Tally" size="normal" onAction="SyncData" imageMso="Refresh" screentip="Fatch Data From Tally" supertip="We will try to collect required information from active company of running Tally"/>
          <button id="MapBtn" label="Data From File" size="normal" onAction="MapFileData" getEnabled="GetMapBtnStatus" imageMso="ImportTextFile" screentip="Map/Import Data From File" supertip="Collect data from external excel file."/>
          <button id="EraseBtn" label="Erase Data" size="normal" onAction="EraseData" imageMso="TableStyleClear" screentip="Clear Sheet Data" supertip="Clear all existing data from this sheet."/>
          <separator id="Sep1"/>
          <menu id="PostMenu" label="Post" size="large" image="E2T" getVisible="GetPostBtnStatus" screentip="Post/Generate Existing Data">
            <menuSeparator id="PostSep1"/>
            <button id="BookBtn" label="Post To Tally" onAction="PostData" image="E2T" screentip="Post Existing Data into Tally" supertip="Post Existing data direct into Tally using Tally server."/>
            <menuSeparator id="PostSep2"/>
            <button id="XmlBtn" label="Create XML File" onAction="CreateXMLFile" image="Xml" screentip="Write XML file for Tally" supertip="Create an Tally supprted XML file from exisitng data."/>
          </menu>
          <menu id="ReportMenu" label="Get" size="large" image="T2E" getVisible="GetReportBtnStatus" screentip="Get Report From Tally">
            <menuSeparator id="ReportSep1"/>
            <button id="LedgerVoucherBtn" label="Ledger Vouchers" onAction="GetReport" imageMso="Thesaurus" screentip="Fetch Ledger Vouchers" supertip="Extract Ledger Vouchers report from Tally for specified period of selected ledger."/>
            <!--<menuSeparator id="ReportSep2" />-->
            <!--<button id="TrialBalanceBtn" label="Trial Balance" onAction="GetReport" image="Thesaurus" screentip="Fetch Trial Balance" supertip="Extract Trial Balance report from Tally for specified period." />-->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21371C-D93C-4099-B831-56310FF7BAE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ENTRIES</vt:lpstr>
      <vt:lpstr>Ledger Activity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MJ-PC</dc:creator>
  <cp:lastModifiedBy>Muhammed Jameel</cp:lastModifiedBy>
  <dcterms:created xsi:type="dcterms:W3CDTF">2024-12-03T17:27:04Z</dcterms:created>
  <dcterms:modified xsi:type="dcterms:W3CDTF">2025-01-24T17:46:54Z</dcterms:modified>
</cp:coreProperties>
</file>